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Instructions" sheetId="1" state="visible" r:id="rId1"/>
    <sheet name="Lookup Lists" sheetId="2" state="visible" r:id="rId2"/>
    <sheet name="Use Cases" sheetId="3" state="visible" r:id="rId3"/>
    <sheet name="Sprint Tasks" sheetId="4" state="visible" r:id="rId4"/>
    <sheet name="Sprint Board" sheetId="5" state="visible" r:id="rId5"/>
  </sheets>
  <definedNames>
    <definedName name="_xlnm._FilterDatabase" localSheetId="2" hidden="1">'Use Cases'!$A$1:$K$82</definedName>
    <definedName name="_xlnm._FilterDatabase" localSheetId="3" hidden="1">'Sprint Tasks'!$A$1:$M$121</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yyyy\-mm\-dd"/>
  </numFmts>
  <fonts count="8">
    <font>
      <name val="Calibri"/>
      <charset val="1"/>
      <family val="2"/>
      <color theme="1"/>
      <sz val="11"/>
    </font>
    <font>
      <name val="Arial"/>
      <family val="0"/>
      <sz val="10"/>
    </font>
    <font>
      <name val="Arial"/>
      <family val="0"/>
      <sz val="10"/>
    </font>
    <font>
      <name val="Arial"/>
      <family val="0"/>
      <sz val="10"/>
    </font>
    <font>
      <name val="Arial"/>
      <charset val="1"/>
      <family val="0"/>
      <b val="1"/>
      <color rgb="FF1F4E78"/>
      <sz val="14"/>
    </font>
    <font>
      <name val="Arial"/>
      <charset val="1"/>
      <family val="0"/>
      <b val="1"/>
      <sz val="10"/>
    </font>
    <font>
      <name val="Arial"/>
      <charset val="1"/>
      <family val="0"/>
      <sz val="10"/>
    </font>
    <font>
      <name val="Arial"/>
      <charset val="1"/>
      <family val="0"/>
      <b val="1"/>
      <color rgb="FFFFFFFF"/>
      <sz val="11"/>
    </font>
  </fonts>
  <fills count="6">
    <fill>
      <patternFill/>
    </fill>
    <fill>
      <patternFill patternType="gray125"/>
    </fill>
    <fill>
      <patternFill patternType="solid">
        <fgColor rgb="FFFFF2CC"/>
        <bgColor rgb="FFE2EFDA"/>
      </patternFill>
    </fill>
    <fill>
      <patternFill patternType="solid">
        <fgColor rgb="FFE2EFDA"/>
        <bgColor rgb="FFD9E1F2"/>
      </patternFill>
    </fill>
    <fill>
      <patternFill patternType="solid">
        <fgColor rgb="FF1F4E78"/>
        <bgColor rgb="FF003366"/>
      </patternFill>
    </fill>
    <fill>
      <patternFill patternType="solid">
        <fgColor rgb="FFD9E1F2"/>
        <bgColor rgb="FFE2EFDA"/>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4">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left" vertical="top" wrapText="1"/>
    </xf>
    <xf numFmtId="0" fontId="0" fillId="2" borderId="1" applyAlignment="1" pivotButton="0" quotePrefix="0" xfId="0">
      <alignment horizontal="general" vertical="bottom"/>
    </xf>
    <xf numFmtId="0" fontId="6" fillId="0" borderId="0" applyAlignment="1" pivotButton="0" quotePrefix="0" xfId="0">
      <alignment horizontal="general" vertical="bottom"/>
    </xf>
    <xf numFmtId="0" fontId="0" fillId="3" borderId="1" applyAlignment="1" pivotButton="0" quotePrefix="0" xfId="0">
      <alignment horizontal="general" vertical="bottom"/>
    </xf>
    <xf numFmtId="0" fontId="7" fillId="4" borderId="1" applyAlignment="1" pivotButton="0" quotePrefix="0" xfId="0">
      <alignment horizontal="center" vertical="center" wrapText="1"/>
    </xf>
    <xf numFmtId="0" fontId="6" fillId="3" borderId="1" applyAlignment="1" pivotButton="0" quotePrefix="0" xfId="0">
      <alignment horizontal="left" vertical="top" wrapText="1"/>
    </xf>
    <xf numFmtId="0" fontId="6" fillId="5" borderId="1" applyAlignment="1" pivotButton="0" quotePrefix="0" xfId="0">
      <alignment horizontal="left" vertical="top" wrapText="1"/>
    </xf>
    <xf numFmtId="0" fontId="6" fillId="2" borderId="1" applyAlignment="1" pivotButton="0" quotePrefix="0" xfId="0">
      <alignment horizontal="left" vertical="top" wrapText="1"/>
    </xf>
    <xf numFmtId="1" fontId="6" fillId="2" borderId="1" applyAlignment="1" pivotButton="0" quotePrefix="0" xfId="0">
      <alignment horizontal="left" vertical="top" wrapText="1"/>
    </xf>
    <xf numFmtId="164" fontId="6" fillId="2" borderId="1" applyAlignment="1" pivotButton="0" quotePrefix="0" xfId="0">
      <alignment horizontal="left" vertical="top" wrapText="1"/>
    </xf>
    <xf numFmtId="0" fontId="6"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left" vertical="top" wrapText="1"/>
    </xf>
    <xf numFmtId="0" fontId="0" fillId="2" borderId="1" applyAlignment="1" pivotButton="0" quotePrefix="0" xfId="0">
      <alignment horizontal="general" vertical="bottom"/>
    </xf>
    <xf numFmtId="0" fontId="6" fillId="0" borderId="0" applyAlignment="1" pivotButton="0" quotePrefix="0" xfId="0">
      <alignment horizontal="general" vertical="bottom"/>
    </xf>
    <xf numFmtId="0" fontId="0" fillId="3" borderId="1" applyAlignment="1" pivotButton="0" quotePrefix="0" xfId="0">
      <alignment horizontal="general" vertical="bottom"/>
    </xf>
    <xf numFmtId="0" fontId="7" fillId="4" borderId="1" applyAlignment="1" pivotButton="0" quotePrefix="0" xfId="0">
      <alignment horizontal="center" vertical="center" wrapText="1"/>
    </xf>
    <xf numFmtId="0" fontId="6" fillId="5" borderId="1" applyAlignment="1" pivotButton="0" quotePrefix="0" xfId="0">
      <alignment horizontal="left" vertical="top" wrapText="1"/>
    </xf>
    <xf numFmtId="0" fontId="6" fillId="2" borderId="1" applyAlignment="1" pivotButton="0" quotePrefix="0" xfId="0">
      <alignment horizontal="left" vertical="top" wrapText="1"/>
    </xf>
    <xf numFmtId="0" fontId="6" fillId="3" borderId="1" applyAlignment="1" pivotButton="0" quotePrefix="0" xfId="0">
      <alignment horizontal="left" vertical="top" wrapText="1"/>
    </xf>
    <xf numFmtId="1" fontId="6" fillId="2" borderId="1" applyAlignment="1" pivotButton="0" quotePrefix="0" xfId="0">
      <alignment horizontal="left" vertical="top" wrapText="1"/>
    </xf>
    <xf numFmtId="164" fontId="6" fillId="2" borderId="1" applyAlignment="1" pivotButton="0" quotePrefix="0" xfId="0">
      <alignment horizontal="left" vertical="top" wrapText="1"/>
    </xf>
    <xf numFmtId="0" fontId="6"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0" borderId="1" applyAlignment="1" pivotButton="0" quotePrefix="0" xfId="0">
      <alignment horizontal="left" vertical="top" wrapText="1"/>
    </xf>
    <xf numFmtId="1" fontId="6" fillId="0" borderId="1" applyAlignment="1" pivotButton="0" quotePrefix="0" xfId="0">
      <alignment horizontal="left" vertical="top" wrapText="1"/>
    </xf>
    <xf numFmtId="164" fontId="6" fillId="0" borderId="1" applyAlignment="1" pivotButton="0" quotePrefix="0" xfId="0">
      <alignment horizontal="lef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B2:H15"/>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15" min="1" max="1"/>
    <col width="22" customWidth="1" style="15" min="2" max="2"/>
    <col width="70" customWidth="1" style="15" min="3" max="3"/>
    <col width="10" customWidth="1" style="15" min="4" max="8"/>
  </cols>
  <sheetData>
    <row r="2" ht="17.35" customHeight="1" s="16">
      <c r="B2" s="17" t="inlineStr">
        <is>
          <t>Use Case → Sprint Task Tracker</t>
        </is>
      </c>
    </row>
    <row r="4" ht="15" customHeight="1" s="16">
      <c r="B4" s="18" t="inlineStr">
        <is>
          <t>1. Use Cases</t>
        </is>
      </c>
      <c r="C4" s="19" t="inlineStr">
        <is>
          <t>Define each use case first on the 'Use Cases' tab. One row per use case. Fill only the yellow cells; formulas/IDs elsewhere are for reference.</t>
        </is>
      </c>
    </row>
    <row r="6" ht="15" customHeight="1" s="16">
      <c r="B6" s="18" t="inlineStr">
        <is>
          <t>2. Sprint Tasks</t>
        </is>
      </c>
      <c r="C6" s="19" t="inlineStr">
        <is>
          <t>Break every use case into one or more sprint-ready tasks on the 'Sprint Tasks' tab. Link each task back to its Use Case ID.</t>
        </is>
      </c>
    </row>
    <row r="8" ht="15" customHeight="1" s="16">
      <c r="B8" s="18" t="inlineStr">
        <is>
          <t>3. Sprint Board</t>
        </is>
      </c>
      <c r="C8" s="19" t="inlineStr">
        <is>
          <t>The 'Sprint Board' tab summarizes task counts and status per sprint using formulas — do not edit its formula cells directly.</t>
        </is>
      </c>
    </row>
    <row r="10" ht="23.85" customHeight="1" s="16">
      <c r="B10" s="18" t="inlineStr">
        <is>
          <t>4. Dropdowns</t>
        </is>
      </c>
      <c r="C10" s="19" t="inlineStr">
        <is>
          <t>Priority, Status, Task Type and Sprint columns use dropdown lists so data stays consistent. Edit the 'Lookup Lists' tab to change the available options.</t>
        </is>
      </c>
    </row>
    <row r="12" ht="15" customHeight="1" s="16">
      <c r="B12" s="18" t="inlineStr">
        <is>
          <t>Color legend</t>
        </is>
      </c>
    </row>
    <row r="14" ht="15" customHeight="1" s="16">
      <c r="B14" s="20" t="inlineStr">
        <is>
          <t> </t>
        </is>
      </c>
      <c r="C14" s="21" t="inlineStr">
        <is>
          <t>Yellow fill = cell you fill in</t>
        </is>
      </c>
    </row>
    <row r="15" ht="15" customHeight="1" s="16">
      <c r="B15" s="22" t="inlineStr">
        <is>
          <t> </t>
        </is>
      </c>
      <c r="C15" s="21" t="inlineStr">
        <is>
          <t>Green fill = example row (for reference only, safe to delete/overwrite)</t>
        </is>
      </c>
    </row>
  </sheetData>
  <mergeCells count="4">
    <mergeCell ref="C6:H6"/>
    <mergeCell ref="C8:H8"/>
    <mergeCell ref="C10:H10"/>
    <mergeCell ref="C4:H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4" customWidth="1" style="15" min="1" max="3"/>
    <col width="16" customWidth="1" style="15" min="4" max="4"/>
    <col width="12" customWidth="1" style="15" min="5" max="5"/>
  </cols>
  <sheetData>
    <row r="1" ht="15" customHeight="1" s="16">
      <c r="A1" s="18" t="inlineStr">
        <is>
          <t>Priority</t>
        </is>
      </c>
      <c r="B1" s="18" t="inlineStr">
        <is>
          <t>UC Status</t>
        </is>
      </c>
      <c r="C1" s="18" t="inlineStr">
        <is>
          <t>Task Status</t>
        </is>
      </c>
      <c r="D1" s="18" t="inlineStr">
        <is>
          <t>Task Type</t>
        </is>
      </c>
      <c r="E1" s="18" t="inlineStr">
        <is>
          <t>Sprint</t>
        </is>
      </c>
    </row>
    <row r="2" ht="15" customHeight="1" s="16">
      <c r="A2" s="21" t="inlineStr">
        <is>
          <t>Critical</t>
        </is>
      </c>
      <c r="B2" s="21" t="inlineStr">
        <is>
          <t>Draft</t>
        </is>
      </c>
      <c r="C2" s="21" t="inlineStr">
        <is>
          <t>To Do</t>
        </is>
      </c>
      <c r="D2" s="21" t="inlineStr">
        <is>
          <t>Frontend</t>
        </is>
      </c>
      <c r="E2" s="21" t="inlineStr">
        <is>
          <t>Sprint 1</t>
        </is>
      </c>
    </row>
    <row r="3" ht="15" customHeight="1" s="16">
      <c r="A3" s="21" t="inlineStr">
        <is>
          <t>High</t>
        </is>
      </c>
      <c r="B3" s="21" t="inlineStr">
        <is>
          <t>Approved</t>
        </is>
      </c>
      <c r="C3" s="21" t="inlineStr">
        <is>
          <t>In Progress</t>
        </is>
      </c>
      <c r="D3" s="21" t="inlineStr">
        <is>
          <t>Backend</t>
        </is>
      </c>
      <c r="E3" s="21" t="inlineStr">
        <is>
          <t>Sprint 2</t>
        </is>
      </c>
    </row>
    <row r="4" ht="15" customHeight="1" s="16">
      <c r="A4" s="21" t="inlineStr">
        <is>
          <t>Medium</t>
        </is>
      </c>
      <c r="B4" s="21" t="inlineStr">
        <is>
          <t>In Progress</t>
        </is>
      </c>
      <c r="C4" s="21" t="inlineStr">
        <is>
          <t>In Review</t>
        </is>
      </c>
      <c r="D4" s="21" t="inlineStr">
        <is>
          <t>API</t>
        </is>
      </c>
      <c r="E4" s="21" t="inlineStr">
        <is>
          <t>Sprint 3</t>
        </is>
      </c>
    </row>
    <row r="5" ht="15" customHeight="1" s="16">
      <c r="A5" s="21" t="inlineStr">
        <is>
          <t>Low</t>
        </is>
      </c>
      <c r="B5" s="21" t="inlineStr">
        <is>
          <t>Done</t>
        </is>
      </c>
      <c r="C5" s="21" t="inlineStr">
        <is>
          <t>Blocked</t>
        </is>
      </c>
      <c r="D5" s="21" t="inlineStr">
        <is>
          <t>Database</t>
        </is>
      </c>
      <c r="E5" s="21" t="inlineStr">
        <is>
          <t>Sprint 4</t>
        </is>
      </c>
    </row>
    <row r="6" ht="15" customHeight="1" s="16">
      <c r="C6" s="21" t="inlineStr">
        <is>
          <t>Done</t>
        </is>
      </c>
      <c r="D6" s="21" t="inlineStr">
        <is>
          <t>QA/Testing</t>
        </is>
      </c>
      <c r="E6" s="21" t="inlineStr">
        <is>
          <t>Sprint 5</t>
        </is>
      </c>
    </row>
    <row r="7" ht="15" customHeight="1" s="16">
      <c r="D7" s="21" t="inlineStr">
        <is>
          <t>DevOps</t>
        </is>
      </c>
      <c r="E7" s="21" t="inlineStr">
        <is>
          <t>Backlog</t>
        </is>
      </c>
    </row>
    <row r="8" ht="15" customHeight="1" s="16">
      <c r="D8" s="21" t="inlineStr">
        <is>
          <t>Documentation</t>
        </is>
      </c>
    </row>
    <row r="9" ht="15" customHeight="1" s="16">
      <c r="D9" s="21" t="inlineStr">
        <is>
          <t>Design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K82"/>
  <sheetViews>
    <sheetView showFormulas="0" showGridLines="0" showRowColHeaders="1" showZeros="1" rightToLeft="0" tabSelected="0" showOutlineSymbols="1" defaultGridColor="1" view="normal" topLeftCell="A1" colorId="64" zoomScale="100" zoomScaleNormal="100" zoomScalePageLayoutView="100" workbookViewId="0">
      <pane ySplit="1" topLeftCell="A2" activePane="bottomLeft" state="frozen"/>
      <selection pane="bottomLeft" activeCell="A1" activeCellId="0" sqref="A1"/>
      <selection pane="bottomLeft" activeCell="A1" activeCellId="0" sqref="A1"/>
    </sheetView>
  </sheetViews>
  <sheetFormatPr baseColWidth="8" defaultColWidth="8.6796875" defaultRowHeight="15" zeroHeight="0" outlineLevelRow="0"/>
  <cols>
    <col width="11" customWidth="1" style="15" min="1" max="1"/>
    <col width="26" customWidth="1" style="15" min="2" max="2"/>
    <col width="14" customWidth="1" style="15" min="3" max="3"/>
    <col width="34" customWidth="1" style="15" min="4" max="4"/>
    <col width="26" customWidth="1" style="15" min="5" max="5"/>
    <col width="34" customWidth="1" style="15" min="6" max="6"/>
    <col width="26" customWidth="1" style="15" min="7" max="7"/>
    <col width="10" customWidth="1" style="15" min="8" max="8"/>
    <col width="12" customWidth="1" style="15" min="9" max="9"/>
    <col width="22" customWidth="1" style="15" min="10" max="10"/>
    <col width="24" customWidth="1" style="15" min="11" max="11"/>
  </cols>
  <sheetData>
    <row r="1" ht="26.85" customHeight="1" s="16">
      <c r="A1" s="23" t="inlineStr">
        <is>
          <t>Use Case ID</t>
        </is>
      </c>
      <c r="B1" s="23" t="inlineStr">
        <is>
          <t>Use Case Title</t>
        </is>
      </c>
      <c r="C1" s="23" t="inlineStr">
        <is>
          <t>Actor</t>
        </is>
      </c>
      <c r="D1" s="23" t="inlineStr">
        <is>
          <t>Description</t>
        </is>
      </c>
      <c r="E1" s="23" t="inlineStr">
        <is>
          <t>Preconditions</t>
        </is>
      </c>
      <c r="F1" s="23" t="inlineStr">
        <is>
          <t>Main Flow (steps)</t>
        </is>
      </c>
      <c r="G1" s="23" t="inlineStr">
        <is>
          <t>Postconditions</t>
        </is>
      </c>
      <c r="H1" s="23" t="inlineStr">
        <is>
          <t>Priority</t>
        </is>
      </c>
      <c r="I1" s="23" t="inlineStr">
        <is>
          <t>Status</t>
        </is>
      </c>
      <c r="J1" s="23" t="inlineStr">
        <is>
          <t>Related Epic/Feature</t>
        </is>
      </c>
      <c r="K1" s="23" t="inlineStr">
        <is>
          <t>Notes</t>
        </is>
      </c>
    </row>
    <row r="2" s="16">
      <c r="A2" s="24" t="inlineStr">
        <is>
          <t>UC-001</t>
        </is>
      </c>
      <c r="B2" s="25" t="inlineStr">
        <is>
          <t>Register with email and password</t>
        </is>
      </c>
      <c r="C2" s="25" t="inlineStr">
        <is>
          <t>Student (prospect)</t>
        </is>
      </c>
      <c r="D2" s="25" t="inlineStr">
        <is>
          <t>As a prospective student, I want to create an account with my email and a password so that I can start using Lumen Academy.</t>
        </is>
      </c>
      <c r="E2" s="25" t="inlineStr">
        <is>
          <t>Email is not already registered (checked via GET /auth/email-exists); Supabase Auth is reachable.</t>
        </is>
      </c>
      <c r="F2" s="25" t="inlineStr">
        <is>
          <t>1. Open the landing page and choose Register
2. Enter name, email, password
3. Frontend checks email availability
4. signUpWithPassword() creates the Supabase identity
5. A 6-digit confirmation OTP is emailed
6. Student is moved to the OTP screen</t>
        </is>
      </c>
      <c r="G2" s="25" t="inlineStr">
        <is>
          <t>A Supabase auth identity and a core.app_user row exist; the account is pending email confirmation.</t>
        </is>
      </c>
      <c r="H2" s="25" t="inlineStr">
        <is>
          <t>Critical</t>
        </is>
      </c>
      <c r="I2" s="25" t="inlineStr">
        <is>
          <t>Done</t>
        </is>
      </c>
      <c r="J2" s="25" t="inlineStr">
        <is>
          <t>Auth &amp; Session</t>
        </is>
      </c>
      <c r="K2" s="25" t="inlineStr">
        <is>
          <t>frontend/src/pages/LandingView.tsx (authMode 'register'), services/supabaseAuth.ts signUpWithPassword, services/emailAvailabilityApi.ts. Auth is 100% client-side Supabase; backend never issues tokens.</t>
        </is>
      </c>
    </row>
    <row r="3" s="16">
      <c r="A3" s="24" t="inlineStr">
        <is>
          <t>UC-002</t>
        </is>
      </c>
      <c r="B3" s="25" t="inlineStr">
        <is>
          <t>Confirm sign-up with an email OTP</t>
        </is>
      </c>
      <c r="C3" s="25" t="inlineStr">
        <is>
          <t>Student (prospect)</t>
        </is>
      </c>
      <c r="D3" s="25" t="inlineStr">
        <is>
          <t>As a new student, I want to confirm my email with the code I received so that my account becomes usable.</t>
        </is>
      </c>
      <c r="E3" s="25" t="inlineStr">
        <is>
          <t>Sign-up completed; a confirmation OTP was sent and has not expired.</t>
        </is>
      </c>
      <c r="F3" s="25" t="inlineStr">
        <is>
          <t>1. Enter the 6 digits in the OTP boxes
2. verifySignupOtp() exchanges the code for a session
3. On failure the student can request a resend (rate-limited by a retry-after countdown)
4. On success the app loads the authenticated shell</t>
        </is>
      </c>
      <c r="G3" s="25" t="inlineStr">
        <is>
          <t>Email is confirmed, a Supabase session exists and the student lands on the dashboard.</t>
        </is>
      </c>
      <c r="H3" s="25" t="inlineStr">
        <is>
          <t>Critical</t>
        </is>
      </c>
      <c r="I3" s="25" t="inlineStr">
        <is>
          <t>Done</t>
        </is>
      </c>
      <c r="J3" s="25" t="inlineStr">
        <is>
          <t>Auth &amp; Session</t>
        </is>
      </c>
      <c r="K3" s="25" t="inlineStr">
        <is>
          <t>supabaseAuth.ts verifySignupOtp / resendSignupConfirmation; resend guarded by services/emailSendGuard.ts.</t>
        </is>
      </c>
    </row>
    <row r="4" s="16">
      <c r="A4" s="24" t="inlineStr">
        <is>
          <t>UC-003</t>
        </is>
      </c>
      <c r="B4" s="25" t="inlineStr">
        <is>
          <t>Sign in with email and password</t>
        </is>
      </c>
      <c r="C4" s="25" t="inlineStr">
        <is>
          <t>Student</t>
        </is>
      </c>
      <c r="D4" s="25" t="inlineStr">
        <is>
          <t>As a returning student, I want to sign in with my email and password so that I can get back to my preparation.</t>
        </is>
      </c>
      <c r="E4" s="25" t="inlineStr">
        <is>
          <t>A confirmed account exists.</t>
        </is>
      </c>
      <c r="F4" s="25" t="inlineStr">
        <is>
          <t>1. Choose Sign In
2. Enter email and password
3. signInWithPassword() returns a Supabase session
4. GET /me returns identity, role, status, tenancy and student profile in one call
5. The dashboard renders</t>
        </is>
      </c>
      <c r="G4" s="25" t="inlineStr">
        <is>
          <t>An authenticated session is active and the profile snapshot is cached in app state.</t>
        </is>
      </c>
      <c r="H4" s="25" t="inlineStr">
        <is>
          <t>Critical</t>
        </is>
      </c>
      <c r="I4" s="25" t="inlineStr">
        <is>
          <t>Done</t>
        </is>
      </c>
      <c r="J4" s="25" t="inlineStr">
        <is>
          <t>Auth &amp; Session</t>
        </is>
      </c>
      <c r="K4" s="25" t="inlineStr">
        <is>
          <t>supabaseAuth.ts signInWithPassword; backend/src/routes/api.ts GET /me (replaces the old multi-round-trip PostgREST reads).</t>
        </is>
      </c>
    </row>
    <row r="5" s="16">
      <c r="A5" s="24" t="inlineStr">
        <is>
          <t>UC-004</t>
        </is>
      </c>
      <c r="B5" s="25" t="inlineStr">
        <is>
          <t>Sign in with a one-time passcode (email)</t>
        </is>
      </c>
      <c r="C5" s="25" t="inlineStr">
        <is>
          <t>Student</t>
        </is>
      </c>
      <c r="D5" s="25" t="inlineStr">
        <is>
          <t>As a student who does not want to remember a password, I want to sign in with an emailed code so that access stays simple.</t>
        </is>
      </c>
      <c r="E5" s="25" t="inlineStr">
        <is>
          <t>The email belongs to an existing account (shouldCreateUser=false for the login flow).</t>
        </is>
      </c>
      <c r="F5" s="25" t="inlineStr">
        <is>
          <t>1. Choose Sign In and switch delivery to Email OTP
2. sendEmailOtp() dispatches the code
3. Enter the 6 digits
4. verifyEmailOtp() returns a session</t>
        </is>
      </c>
      <c r="G5" s="25" t="inlineStr">
        <is>
          <t>The student is signed in without a password.</t>
        </is>
      </c>
      <c r="H5" s="25" t="inlineStr">
        <is>
          <t>High</t>
        </is>
      </c>
      <c r="I5" s="25" t="inlineStr">
        <is>
          <t>Done</t>
        </is>
      </c>
      <c r="J5" s="25" t="inlineStr">
        <is>
          <t>Auth &amp; Session</t>
        </is>
      </c>
      <c r="K5" s="25" t="inlineStr">
        <is>
          <t>supabaseAuth.ts sendEmailOtp / verifyEmailOtp; otpFlow distinguishes register vs login.</t>
        </is>
      </c>
    </row>
    <row r="6" s="16">
      <c r="A6" s="24" t="inlineStr">
        <is>
          <t>UC-005</t>
        </is>
      </c>
      <c r="B6" s="25" t="inlineStr">
        <is>
          <t>Sign in with a mobile OTP</t>
        </is>
      </c>
      <c r="C6" s="25" t="inlineStr">
        <is>
          <t>Student</t>
        </is>
      </c>
      <c r="D6" s="25" t="inlineStr">
        <is>
          <t>As a student who prefers my phone number, I want to receive an SMS code so that I can sign in without email.</t>
        </is>
      </c>
      <c r="E6" s="25" t="inlineStr">
        <is>
          <t>Phone number is valid and normalisable to E.164; SMS provider is configured in Supabase.</t>
        </is>
      </c>
      <c r="F6" s="25" t="inlineStr">
        <is>
          <t>1. Switch OTP delivery to Phone
2. Enter the mobile number (converted to E.164)
3. sendPhoneOtp() dispatches the SMS
4. Enter the code
5. verifyPhoneOtp() returns a session</t>
        </is>
      </c>
      <c r="G6" s="25" t="inlineStr">
        <is>
          <t>The student is signed in via phone identity.</t>
        </is>
      </c>
      <c r="H6" s="25" t="inlineStr">
        <is>
          <t>Medium</t>
        </is>
      </c>
      <c r="I6" s="25" t="inlineStr">
        <is>
          <t>In Progress</t>
        </is>
      </c>
      <c r="J6" s="25" t="inlineStr">
        <is>
          <t>Auth &amp; Session</t>
        </is>
      </c>
      <c r="K6" s="25" t="inlineStr">
        <is>
          <t>supabaseAuth.ts sendPhoneOtp / verifyPhoneOtp. docs/FRONTEND.md sec 5.6 flags the per-SMS cost trap before this is switched on for real traffic.</t>
        </is>
      </c>
    </row>
    <row r="7" s="16">
      <c r="A7" s="24" t="inlineStr">
        <is>
          <t>UC-006</t>
        </is>
      </c>
      <c r="B7" s="25" t="inlineStr">
        <is>
          <t>Sign in with Google or LinkedIn</t>
        </is>
      </c>
      <c r="C7" s="25" t="inlineStr">
        <is>
          <t>Student</t>
        </is>
      </c>
      <c r="D7" s="25" t="inlineStr">
        <is>
          <t>As a student, I want to sign in with an account I already have so that I skip form filling.</t>
        </is>
      </c>
      <c r="E7" s="25" t="inlineStr">
        <is>
          <t>The OAuth provider is enabled in Supabase and redirect URLs are allow-listed.</t>
        </is>
      </c>
      <c r="F7" s="25" t="inlineStr">
        <is>
          <t>1. Click Continue with Google (or LinkedIn)
2. signInWithGoogle()/signInWithLinkedIn() starts the OAuth redirect
3. Provider returns to the app with a session
4. GET /me resolves the app user</t>
        </is>
      </c>
      <c r="G7" s="25" t="inlineStr">
        <is>
          <t>A federated identity is linked and the student is signed in.</t>
        </is>
      </c>
      <c r="H7" s="25" t="inlineStr">
        <is>
          <t>Medium</t>
        </is>
      </c>
      <c r="I7" s="25" t="inlineStr">
        <is>
          <t>Done</t>
        </is>
      </c>
      <c r="J7" s="25" t="inlineStr">
        <is>
          <t>Auth &amp; Session</t>
        </is>
      </c>
      <c r="K7" s="25" t="inlineStr">
        <is>
          <t>supabaseAuth.ts signInWithGoogle / signInWithLinkedIn; services/googleOneTap.ts for the One Tap prompt.</t>
        </is>
      </c>
    </row>
    <row r="8" s="16">
      <c r="A8" s="24" t="inlineStr">
        <is>
          <t>UC-007</t>
        </is>
      </c>
      <c r="B8" s="25" t="inlineStr">
        <is>
          <t>Explore the product on the shared demo account</t>
        </is>
      </c>
      <c r="C8" s="25" t="inlineStr">
        <is>
          <t>Visitor</t>
        </is>
      </c>
      <c r="D8" s="25" t="inlineStr">
        <is>
          <t>As a visitor, I want a one-click demo login so that I can see the real product before registering.</t>
        </is>
      </c>
      <c r="E8" s="25" t="inlineStr">
        <is>
          <t>Demo credentials are provisioned; ensureDemoSession() can sign in or create the demo user once.</t>
        </is>
      </c>
      <c r="F8" s="25" t="inlineStr">
        <is>
          <t>1. Click Demo Account on the landing page
2. ensureDemoSession() signs in (or provisions) the shared demo user
3. The app shows a 'demo data' badge in the header
4. Visitor browses dashboard, tests and analytics</t>
        </is>
      </c>
      <c r="G8" s="25" t="inlineStr">
        <is>
          <t>The visitor is inside the authenticated app on shared sample data.</t>
        </is>
      </c>
      <c r="H8" s="25" t="inlineStr">
        <is>
          <t>High</t>
        </is>
      </c>
      <c r="I8" s="25" t="inlineStr">
        <is>
          <t>Done</t>
        </is>
      </c>
      <c r="J8" s="25" t="inlineStr">
        <is>
          <t>Auth &amp; Session</t>
        </is>
      </c>
      <c r="K8" s="25" t="inlineStr">
        <is>
          <t>frontend/src/services/demoSession.ts; Header.tsx renders the demo badge with a shared-account tooltip.</t>
        </is>
      </c>
    </row>
    <row r="9" s="16">
      <c r="A9" s="24" t="inlineStr">
        <is>
          <t>UC-008</t>
        </is>
      </c>
      <c r="B9" s="25" t="inlineStr">
        <is>
          <t>Reset the demo account back to a clean state</t>
        </is>
      </c>
      <c r="C9" s="25" t="inlineStr">
        <is>
          <t>Student (demo) / Support</t>
        </is>
      </c>
      <c r="D9" s="25" t="inlineStr">
        <is>
          <t>As anyone using the demo, I want its data reset so that the next visitor sees a clean account.</t>
        </is>
      </c>
      <c r="E9" s="25" t="inlineStr">
        <is>
          <t>Signed in on the demo account.</t>
        </is>
      </c>
      <c r="F9" s="25" t="inlineStr">
        <is>
          <t>1. Trigger the demo reset action
2. POST /auth/demo/reset clears demo attempts, plans and notes
3. The app reloads its state</t>
        </is>
      </c>
      <c r="G9" s="25" t="inlineStr">
        <is>
          <t>Demo attempts and learn-layer rows are cleared; the demo user itself survives.</t>
        </is>
      </c>
      <c r="H9" s="25" t="inlineStr">
        <is>
          <t>Low</t>
        </is>
      </c>
      <c r="I9" s="25" t="inlineStr">
        <is>
          <t>Done</t>
        </is>
      </c>
      <c r="J9" s="25" t="inlineStr">
        <is>
          <t>Auth &amp; Session</t>
        </is>
      </c>
      <c r="K9" s="25" t="inlineStr">
        <is>
          <t>backend/src/controllers/demoController.ts resetDemoAccountData; frontend services/demoSession.ts.</t>
        </is>
      </c>
    </row>
    <row r="10" s="16">
      <c r="A10" s="24" t="inlineStr">
        <is>
          <t>UC-009</t>
        </is>
      </c>
      <c r="B10" s="25" t="inlineStr">
        <is>
          <t>Check whether an email is already registered</t>
        </is>
      </c>
      <c r="C10" s="25" t="inlineStr">
        <is>
          <t>Student (prospect)</t>
        </is>
      </c>
      <c r="D10" s="25" t="inlineStr">
        <is>
          <t>As a prospect, I want to be told immediately that my email already has an account so that I sign in instead of re-registering.</t>
        </is>
      </c>
      <c r="E10" s="25" t="inlineStr">
        <is>
          <t>Lookup rate limit for the caller has not been exceeded.</t>
        </is>
      </c>
      <c r="F10" s="25" t="inlineStr">
        <is>
          <t>1. Type an email in the register form
2. Frontend calls GET /auth/email-exists (debounced)
3. checkEmailLookupAllowed() throttles abusive lookups
4. UI shows 'already registered — sign in instead'</t>
        </is>
      </c>
      <c r="G10" s="25" t="inlineStr">
        <is>
          <t>The student is routed to the correct flow before submitting.</t>
        </is>
      </c>
      <c r="H10" s="25" t="inlineStr">
        <is>
          <t>Medium</t>
        </is>
      </c>
      <c r="I10" s="25" t="inlineStr">
        <is>
          <t>Done</t>
        </is>
      </c>
      <c r="J10" s="25" t="inlineStr">
        <is>
          <t>Auth &amp; Session</t>
        </is>
      </c>
      <c r="K10" s="25" t="inlineStr">
        <is>
          <t>backend/src/services/emailAvailability.service.ts; deliberately rate-limited to avoid an email-enumeration oracle.</t>
        </is>
      </c>
    </row>
    <row r="11" s="16">
      <c r="A11" s="24" t="inlineStr">
        <is>
          <t>UC-010</t>
        </is>
      </c>
      <c r="B11" s="25" t="inlineStr">
        <is>
          <t>Keep the session alive and warn before idle expiry</t>
        </is>
      </c>
      <c r="C11" s="25" t="inlineStr">
        <is>
          <t>Student</t>
        </is>
      </c>
      <c r="D11" s="25" t="inlineStr">
        <is>
          <t>As a student, I want a warning before my session expires so that I do not lose work silently.</t>
        </is>
      </c>
      <c r="E11" s="25" t="inlineStr">
        <is>
          <t>Signed in; SESSION_IDLE_TIMEOUT_MINUTES / SESSION_ABSOLUTE_HOURS configured.</t>
        </is>
      </c>
      <c r="F11" s="25" t="inlineStr">
        <is>
          <t>1. The client sends POST /auth/session/heartbeat on activity
2. GET /auth/session reports idle and absolute remaining time
3. useIdleSessionGuard opens SessionExpiryModal before the cut-off
4. Student extends the session or is signed out</t>
        </is>
      </c>
      <c r="G11" s="25" t="inlineStr">
        <is>
          <t>The session is either extended or ended cleanly with the student informed.</t>
        </is>
      </c>
      <c r="H11" s="25" t="inlineStr">
        <is>
          <t>High</t>
        </is>
      </c>
      <c r="I11" s="25" t="inlineStr">
        <is>
          <t>Done</t>
        </is>
      </c>
      <c r="J11" s="25" t="inlineStr">
        <is>
          <t>Auth &amp; Session</t>
        </is>
      </c>
      <c r="K11" s="25" t="inlineStr">
        <is>
          <t>backend/src/controllers/authSessionController.ts; frontend hooks/useIdleSessionGuard.ts + components/layout/SessionExpiryModal.tsx.</t>
        </is>
      </c>
    </row>
    <row r="12" s="16">
      <c r="A12" s="24" t="inlineStr">
        <is>
          <t>UC-011</t>
        </is>
      </c>
      <c r="B12" s="25" t="inlineStr">
        <is>
          <t>Sign out</t>
        </is>
      </c>
      <c r="C12" s="25" t="inlineStr">
        <is>
          <t>Student</t>
        </is>
      </c>
      <c r="D12" s="25" t="inlineStr">
        <is>
          <t>As a student, I want to sign out so that my account is not left open on a shared device.</t>
        </is>
      </c>
      <c r="E12" s="25" t="inlineStr">
        <is>
          <t>An active session exists.</t>
        </is>
      </c>
      <c r="F12" s="25" t="inlineStr">
        <is>
          <t>1. Open the profile menu and click Sign Out
2. POST /auth/session/logout records the logout
3. supabaseAuth.signOut() clears the client session
4. The landing page is shown</t>
        </is>
      </c>
      <c r="G12" s="25" t="inlineStr">
        <is>
          <t>The session is terminated and cached profile state is dropped.</t>
        </is>
      </c>
      <c r="H12" s="25" t="inlineStr">
        <is>
          <t>High</t>
        </is>
      </c>
      <c r="I12" s="25" t="inlineStr">
        <is>
          <t>Done</t>
        </is>
      </c>
      <c r="J12" s="25" t="inlineStr">
        <is>
          <t>Auth &amp; Session</t>
        </is>
      </c>
      <c r="K12" s="25" t="inlineStr">
        <is>
          <t>authSessionController.logoutSession; Header.tsx sign-out control.</t>
        </is>
      </c>
    </row>
    <row r="13" s="16">
      <c r="A13" s="24" t="inlineStr">
        <is>
          <t>UC-012</t>
        </is>
      </c>
      <c r="B13" s="25" t="inlineStr">
        <is>
          <t>Complete onboarding (exam, class, target year)</t>
        </is>
      </c>
      <c r="C13" s="25" t="inlineStr">
        <is>
          <t>Student</t>
        </is>
      </c>
      <c r="D13" s="25" t="inlineStr">
        <is>
          <t>As a new student, I want to tell the app which exam and year I am targeting so that content and plans are relevant.</t>
        </is>
      </c>
      <c r="E13" s="25" t="inlineStr">
        <is>
          <t>Signed in; an active subscription plan is attached to the account.</t>
        </is>
      </c>
      <c r="F13" s="25" t="inlineStr">
        <is>
          <t>1. Student picks the target exam on the landing/exam-select step
2. Class level and target year are saved via PATCH /me
3. GET /me detects plan active + required fields present
4. syncOnboardingState() flips onboardingState to 'completed'</t>
        </is>
      </c>
      <c r="G13" s="25" t="inlineStr">
        <is>
          <t>core.student_profile carries targetExam, classLevel and targetYear; onboarding no longer prompts.</t>
        </is>
      </c>
      <c r="H13" s="25" t="inlineStr">
        <is>
          <t>High</t>
        </is>
      </c>
      <c r="I13" s="25" t="inlineStr">
        <is>
          <t>Done</t>
        </is>
      </c>
      <c r="J13" s="25" t="inlineStr">
        <is>
          <t>Profile &amp; Settings</t>
        </is>
      </c>
      <c r="K13" s="25" t="inlineStr">
        <is>
          <t>backend/src/routes/api.ts GET /me onboarding sync (LA-UX-REFRESH-001 F3); services/meProfile.service.ts.</t>
        </is>
      </c>
    </row>
    <row r="14" s="16">
      <c r="A14" s="24" t="inlineStr">
        <is>
          <t>UC-013</t>
        </is>
      </c>
      <c r="B14" s="25" t="inlineStr">
        <is>
          <t>View my consolidated profile</t>
        </is>
      </c>
      <c r="C14" s="25" t="inlineStr">
        <is>
          <t>Student</t>
        </is>
      </c>
      <c r="D14" s="25" t="inlineStr">
        <is>
          <t>As a student, I want one place showing my identity, plan and academic details so that I know what the system has on me.</t>
        </is>
      </c>
      <c r="E14" s="25" t="inlineStr">
        <is>
          <t>Signed in with a valid Supabase access token.</t>
        </is>
      </c>
      <c r="F14" s="25" t="inlineStr">
        <is>
          <t>1. Open Profile
2. GET /me returns identity, role, status, institution, subscription and student profile
3. ProfileCard renders the sections</t>
        </is>
      </c>
      <c r="G14" s="25" t="inlineStr">
        <is>
          <t>The student sees an authoritative single-response profile snapshot.</t>
        </is>
      </c>
      <c r="H14" s="25" t="inlineStr">
        <is>
          <t>High</t>
        </is>
      </c>
      <c r="I14" s="25" t="inlineStr">
        <is>
          <t>Done</t>
        </is>
      </c>
      <c r="J14" s="25" t="inlineStr">
        <is>
          <t>Profile &amp; Settings</t>
        </is>
      </c>
      <c r="K14" s="25" t="inlineStr">
        <is>
          <t>backend GET /me (getFullProfile); frontend pages/ProfileView.tsx + ProfileCard.tsx.</t>
        </is>
      </c>
    </row>
    <row r="15" s="16">
      <c r="A15" s="24" t="inlineStr">
        <is>
          <t>UC-014</t>
        </is>
      </c>
      <c r="B15" s="25" t="inlineStr">
        <is>
          <t>Update my own profile details</t>
        </is>
      </c>
      <c r="C15" s="25" t="inlineStr">
        <is>
          <t>Student</t>
        </is>
      </c>
      <c r="D15" s="25" t="inlineStr">
        <is>
          <t>As a student, I want to edit my own details so that my profile stays accurate.</t>
        </is>
      </c>
      <c r="E15" s="25" t="inlineStr">
        <is>
          <t>Signed in; only self-editable fields are submitted.</t>
        </is>
      </c>
      <c r="F15" s="25" t="inlineStr">
        <is>
          <t>1. Edit name / class level / target year / target exam / locale
2. PATCH /me validates the body with a strict Zod schema
3. Non-self-editable fields (email, role, status, institution) are rejected outright
4. The refreshed profile is returned</t>
        </is>
      </c>
      <c r="G15" s="25" t="inlineStr">
        <is>
          <t>The profile is persisted and the UI re-renders from the server response.</t>
        </is>
      </c>
      <c r="H15" s="25" t="inlineStr">
        <is>
          <t>High</t>
        </is>
      </c>
      <c r="I15" s="25" t="inlineStr">
        <is>
          <t>Done</t>
        </is>
      </c>
      <c r="J15" s="25" t="inlineStr">
        <is>
          <t>Profile &amp; Settings</t>
        </is>
      </c>
      <c r="K15" s="25" t="inlineStr">
        <is>
          <t>updateProfileSchema is .strict() — forbidden fields are rejected, never silently dropped. Legacy targetExam/locale still go through Prisma (see prisma/schema.prisma header).</t>
        </is>
      </c>
    </row>
    <row r="16" s="16">
      <c r="A16" s="24" t="inlineStr">
        <is>
          <t>UC-015</t>
        </is>
      </c>
      <c r="B16" s="25" t="inlineStr">
        <is>
          <t>Switch the interface language (English / Tamil)</t>
        </is>
      </c>
      <c r="C16" s="25" t="inlineStr">
        <is>
          <t>Student</t>
        </is>
      </c>
      <c r="D16" s="25" t="inlineStr">
        <is>
          <t>As a Tamil-medium student, I want the interface in Tamil so that I can use the app comfortably.</t>
        </is>
      </c>
      <c r="E16" s="25" t="inlineStr">
        <is>
          <t>en.json / ta.json resource bundles are loaded.</t>
        </is>
      </c>
      <c r="F16" s="25" t="inlineStr">
        <is>
          <t>1. Open Settings &gt; Display &amp; Theme (or the language control)
2. Pick Tamil
3. useLanguage swaps the resource bundle, persists the choice and updates &lt;html lang&gt;
4. UI strings re-render through t()</t>
        </is>
      </c>
      <c r="G16" s="25" t="inlineStr">
        <is>
          <t>The chosen UI language persists across reloads; question language is tracked separately.</t>
        </is>
      </c>
      <c r="H16" s="25" t="inlineStr">
        <is>
          <t>Medium</t>
        </is>
      </c>
      <c r="I16" s="25" t="inlineStr">
        <is>
          <t>In Progress</t>
        </is>
      </c>
      <c r="J16" s="25" t="inlineStr">
        <is>
          <t>Profile &amp; Settings</t>
        </is>
      </c>
      <c r="K16" s="25" t="inlineStr">
        <is>
          <t>frontend/src/i18n/{en,ta}.json. DEFECT-BACKLOG DB-05: many strings are still unwrapped or missing keys, so parts of the UI stay English.</t>
        </is>
      </c>
    </row>
    <row r="17" s="16">
      <c r="A17" s="24" t="inlineStr">
        <is>
          <t>UC-016</t>
        </is>
      </c>
      <c r="B17" s="25" t="inlineStr">
        <is>
          <t>Switch between light and dark theme</t>
        </is>
      </c>
      <c r="C17" s="25" t="inlineStr">
        <is>
          <t>Student</t>
        </is>
      </c>
      <c r="D17" s="25" t="inlineStr">
        <is>
          <t>As a student studying at night, I want a dark theme so that the screen is easier on my eyes.</t>
        </is>
      </c>
      <c r="E17" s="25" t="inlineStr">
        <is>
          <t>Signed in (control lives in the app header).</t>
        </is>
      </c>
      <c r="F17" s="25" t="inlineStr">
        <is>
          <t>1. Click the theme toggle in the header
2. Dark mode class is applied at the document root and persisted
3. All screens re-render in the chosen palette</t>
        </is>
      </c>
      <c r="G17" s="25" t="inlineStr">
        <is>
          <t>The theme preference survives reloads.</t>
        </is>
      </c>
      <c r="H17" s="25" t="inlineStr">
        <is>
          <t>Low</t>
        </is>
      </c>
      <c r="I17" s="25" t="inlineStr">
        <is>
          <t>Done</t>
        </is>
      </c>
      <c r="J17" s="25" t="inlineStr">
        <is>
          <t>Profile &amp; Settings</t>
        </is>
      </c>
      <c r="K17" s="25" t="inlineStr">
        <is>
          <t>Header.tsx toggleDarkMode; Tailwind v4 dark: variants throughout.</t>
        </is>
      </c>
    </row>
    <row r="18" s="16">
      <c r="A18" s="24" t="inlineStr">
        <is>
          <t>UC-017</t>
        </is>
      </c>
      <c r="B18" s="25" t="inlineStr">
        <is>
          <t>Manage notification and security preferences</t>
        </is>
      </c>
      <c r="C18" s="25" t="inlineStr">
        <is>
          <t>Student</t>
        </is>
      </c>
      <c r="D18" s="25" t="inlineStr">
        <is>
          <t>As a student, I want to control daily reminders, diagnostic emails, WhatsApp updates and 2FA so that I decide what reaches me.</t>
        </is>
      </c>
      <c r="E18" s="25" t="inlineStr">
        <is>
          <t>Signed in; Settings modal open.</t>
        </is>
      </c>
      <c r="F18" s="25" t="inlineStr">
        <is>
          <t>1. Open Settings &gt; Notifications / Security &amp; Login
2. Toggle daily reminders, email diagnostic reports, WhatsApp updates, two-factor
3. Preferences are saved against the profile
4. Delivery honours the saved preferences</t>
        </is>
      </c>
      <c r="G18" s="25" t="inlineStr">
        <is>
          <t>Preferences are stored server-side and respected by reminder/notification delivery.</t>
        </is>
      </c>
      <c r="H18" s="25" t="inlineStr">
        <is>
          <t>Medium</t>
        </is>
      </c>
      <c r="I18" s="25" t="inlineStr">
        <is>
          <t>Draft</t>
        </is>
      </c>
      <c r="J18" s="25" t="inlineStr">
        <is>
          <t>Profile &amp; Settings</t>
        </is>
      </c>
      <c r="K18" s="25" t="inlineStr">
        <is>
          <t>GAP: Header.tsx holds these toggles in local useState only (twoFactor, dailyReminders, whatsappUpdates, emailDiagnosticReports) — no persistence and no delivery wiring yet.</t>
        </is>
      </c>
    </row>
    <row r="19" s="16">
      <c r="A19" s="24" t="inlineStr">
        <is>
          <t>UC-018</t>
        </is>
      </c>
      <c r="B19" s="25" t="inlineStr">
        <is>
          <t>Browse the exam catalog tree</t>
        </is>
      </c>
      <c r="C19" s="25" t="inlineStr">
        <is>
          <t>Student</t>
        </is>
      </c>
      <c r="D19" s="25" t="inlineStr">
        <is>
          <t>As a student, I want to browse exam &gt; subject &gt; unit &gt; chapter &gt; topic so that I can pick exactly what to practise.</t>
        </is>
      </c>
      <c r="E19" s="25" t="inlineStr">
        <is>
          <t>Catalog seeded (db/scripts/seed/01_catalog.ts).</t>
        </is>
      </c>
      <c r="F19" s="25" t="inlineStr">
        <is>
          <t>1. Open Tests or Course
2. GET /catalog/tree returns the full nested catalog
3. The tree is cached once per app load and reused by every screen that needs scopes</t>
        </is>
      </c>
      <c r="G19" s="25" t="inlineStr">
        <is>
          <t>Scope pickers across the app are populated from one authoritative catalog read.</t>
        </is>
      </c>
      <c r="H19" s="25" t="inlineStr">
        <is>
          <t>High</t>
        </is>
      </c>
      <c r="I19" s="25" t="inlineStr">
        <is>
          <t>Done</t>
        </is>
      </c>
      <c r="J19" s="25" t="inlineStr">
        <is>
          <t>Catalog &amp; Courses</t>
        </is>
      </c>
      <c r="K19" s="25" t="inlineStr">
        <is>
          <t>backend/src/routes/catalog.routes.ts GET /tree; frontend services/catalogApi.ts, fetched once in App.tsx.</t>
        </is>
      </c>
    </row>
    <row r="20" s="16">
      <c r="A20" s="24" t="inlineStr">
        <is>
          <t>UC-019</t>
        </is>
      </c>
      <c r="B20" s="25" t="inlineStr">
        <is>
          <t>Browse the NEET course area and syllabus</t>
        </is>
      </c>
      <c r="C20" s="25" t="inlineStr">
        <is>
          <t>Student</t>
        </is>
      </c>
      <c r="D20" s="25" t="inlineStr">
        <is>
          <t>As a student, I want a course view of the NEET syllabus so that I can see what to cover and jump into practice.</t>
        </is>
      </c>
      <c r="E20" s="25" t="inlineStr">
        <is>
          <t>Signed in; catalog loaded.</t>
        </is>
      </c>
      <c r="F20" s="25" t="inlineStr">
        <is>
          <t>1. Open Course
2. Switch between Overview / NEET / JEE Mains / JEE Advanced / Build Study Plan tabs
3. Expand a subject to see units, subtopics and formulas
4. Launch a test or add a goal from a unit</t>
        </is>
      </c>
      <c r="G20" s="25" t="inlineStr">
        <is>
          <t>The student can move from syllabus browsing straight into a real test or a plan goal.</t>
        </is>
      </c>
      <c r="H20" s="25" t="inlineStr">
        <is>
          <t>High</t>
        </is>
      </c>
      <c r="I20" s="25" t="inlineStr">
        <is>
          <t>In Progress</t>
        </is>
      </c>
      <c r="J20" s="25" t="inlineStr">
        <is>
          <t>Catalog &amp; Courses</t>
        </is>
      </c>
      <c r="K20" s="25" t="inlineStr">
        <is>
          <t>pages/CourseAreaView.tsx + CoursesView.tsx (unit content from data/syllabusData.ts). JEE Mains/Advanced tabs are deliberately empty placeholders (LA-UX-REFRESH-003 H6).</t>
        </is>
      </c>
    </row>
    <row r="21" s="16">
      <c r="A21" s="24" t="inlineStr">
        <is>
          <t>UC-020</t>
        </is>
      </c>
      <c r="B21" s="25" t="inlineStr">
        <is>
          <t>Preview and download unit study material</t>
        </is>
      </c>
      <c r="C21" s="25" t="inlineStr">
        <is>
          <t>Student</t>
        </is>
      </c>
      <c r="D21" s="25" t="inlineStr">
        <is>
          <t>As a student, I want the notes for a unit so that I can revise away from the test engine.</t>
        </is>
      </c>
      <c r="E21" s="25" t="inlineStr">
        <is>
          <t>learn.unit_material rows exist for the unit and the underlying Drive files are publicly shareable.</t>
        </is>
      </c>
      <c r="F21" s="25" t="inlineStr">
        <is>
          <t>1. Open a unit in Courses
2. GET /learn/unit-materials/unit/:unitId (or /by-tag-codes) lists materials
3. Preview opens the Drive embed in a modal
4. Download calls /learn/unit-materials/:materialId/download and saves the file</t>
        </is>
      </c>
      <c r="G21" s="25" t="inlineStr">
        <is>
          <t>The student has the material open in-app or saved locally.</t>
        </is>
      </c>
      <c r="H21" s="25" t="inlineStr">
        <is>
          <t>High</t>
        </is>
      </c>
      <c r="I21" s="25" t="inlineStr">
        <is>
          <t>In Progress</t>
        </is>
      </c>
      <c r="J21" s="25" t="inlineStr">
        <is>
          <t>Catalog &amp; Courses</t>
        </is>
      </c>
      <c r="K21" s="25" t="inlineStr">
        <is>
          <t>backend/src/controllers/unitMaterialController.ts. DEFECT-BACKLOG DB-06: all 82 Drive files are currently not shared publicly, so downloads land on a sign-in page — the frontend now detects that instead of saving a fake PDF. Needs a Drive-side fix, not code.</t>
        </is>
      </c>
    </row>
    <row r="22" s="16">
      <c r="A22" s="24" t="inlineStr">
        <is>
          <t>UC-021</t>
        </is>
      </c>
      <c r="B22" s="25" t="inlineStr">
        <is>
          <t>Browse the resource library book list</t>
        </is>
      </c>
      <c r="C22" s="25" t="inlineStr">
        <is>
          <t>Student</t>
        </is>
      </c>
      <c r="D22" s="25" t="inlineStr">
        <is>
          <t>As a student, I want a curated book list so that I know which reference books to study from.</t>
        </is>
      </c>
      <c r="E22" s="25" t="inlineStr">
        <is>
          <t>Book list data is loaded into the app.</t>
        </is>
      </c>
      <c r="F22" s="25" t="inlineStr">
        <is>
          <t>1. Open the Resource Library
2. Browse books by subject
3. Open a sample/watermarked preview</t>
        </is>
      </c>
      <c r="G22" s="25" t="inlineStr">
        <is>
          <t>The student can see and open recommended reference material.</t>
        </is>
      </c>
      <c r="H22" s="25" t="inlineStr">
        <is>
          <t>Low</t>
        </is>
      </c>
      <c r="I22" s="25" t="inlineStr">
        <is>
          <t>Draft</t>
        </is>
      </c>
      <c r="J22" s="25" t="inlineStr">
        <is>
          <t>Catalog &amp; Courses</t>
        </is>
      </c>
      <c r="K22" s="25" t="inlineStr">
        <is>
          <t>Data only today: db/books/I20_23_Resource_Library_Book_List_REAL.json + docs/I20_23_Resource_Library_Book_List.md. No API route and no UI yet.</t>
        </is>
      </c>
    </row>
    <row r="23" s="16">
      <c r="A23" s="24" t="inlineStr">
        <is>
          <t>UC-022</t>
        </is>
      </c>
      <c r="B23" s="25" t="inlineStr">
        <is>
          <t>Configure a subject / chapter / topic-wise practice test</t>
        </is>
      </c>
      <c r="C23" s="25" t="inlineStr">
        <is>
          <t>Student</t>
        </is>
      </c>
      <c r="D23" s="25" t="inlineStr">
        <is>
          <t>As a student, I want to build a practice test for a specific scope so that I can drill exactly what I am weak in.</t>
        </is>
      </c>
      <c r="E23" s="25" t="inlineStr">
        <is>
          <t>Signed in; catalog loaded; questions published in the chosen scope.</t>
        </is>
      </c>
      <c r="F23" s="25" t="inlineStr">
        <is>
          <t>1. Open Tests
2. Pick subject, then optionally unit/chapter/topic
3. Pick difficulty (Adaptive/Easy/Medium/Hard) and question count (10-100)
4. POST /assess/sessions with mode 'subject-wise'
5. The test is created, published and an attempt envelope is returned</t>
        </is>
      </c>
      <c r="G23" s="25" t="inlineStr">
        <is>
          <t>A published assess.test plus a live attempt exist, ready to render.</t>
        </is>
      </c>
      <c r="H23" s="25" t="inlineStr">
        <is>
          <t>Critical</t>
        </is>
      </c>
      <c r="I23" s="25" t="inlineStr">
        <is>
          <t>Done</t>
        </is>
      </c>
      <c r="J23" s="25" t="inlineStr">
        <is>
          <t>Test Configuration</t>
        </is>
      </c>
      <c r="K23" s="25" t="inlineStr">
        <is>
          <t>pages/TestListView.tsx; backend/src/controllers/sessionController.ts createSession (discriminated union over 4 modes).</t>
        </is>
      </c>
    </row>
    <row r="24" s="16">
      <c r="A24" s="24" t="inlineStr">
        <is>
          <t>UC-023</t>
        </is>
      </c>
      <c r="B24" s="25" t="inlineStr">
        <is>
          <t>See live question availability while configuring</t>
        </is>
      </c>
      <c r="C24" s="25" t="inlineStr">
        <is>
          <t>Student</t>
        </is>
      </c>
      <c r="D24" s="25" t="inlineStr">
        <is>
          <t>As a student, I want to know before I press Start whether enough questions exist so that I am not blocked mid-flow.</t>
        </is>
      </c>
      <c r="E24" s="25" t="inlineStr">
        <is>
          <t>A scope and count are selected in the configurator.</t>
        </is>
      </c>
      <c r="F24" s="25" t="inlineStr">
        <is>
          <t>1. Change any config field
2. The UI debounces and POSTs /assess/availability with the same lines the session would use
3. A banner shows available vs requested per line
4. Start runs the same check as a final blocking gate</t>
        </is>
      </c>
      <c r="G24" s="25" t="inlineStr">
        <is>
          <t>The student either sees a green availability banner or is stopped before an attempt is created.</t>
        </is>
      </c>
      <c r="H24" s="25" t="inlineStr">
        <is>
          <t>High</t>
        </is>
      </c>
      <c r="I24" s="25" t="inlineStr">
        <is>
          <t>Done</t>
        </is>
      </c>
      <c r="J24" s="25" t="inlineStr">
        <is>
          <t>Test Delivery</t>
        </is>
      </c>
      <c r="K24" s="25" t="inlineStr">
        <is>
          <t>backend assess.routes.ts POST /availability (docs/test-engine-fix-prompt.md Defect 6); components/ui/QuestionAvailabilityBanner.tsx.</t>
        </is>
      </c>
    </row>
    <row r="25" s="16">
      <c r="A25" s="24" t="inlineStr">
        <is>
          <t>UC-024</t>
        </is>
      </c>
      <c r="B25" s="25" t="inlineStr">
        <is>
          <t>Handle an insufficient question pool</t>
        </is>
      </c>
      <c r="C25" s="25" t="inlineStr">
        <is>
          <t>Student</t>
        </is>
      </c>
      <c r="D25" s="25" t="inlineStr">
        <is>
          <t>As a student, I want a clear explanation when my chosen scope does not have enough questions so that I can adjust instead of guessing.</t>
        </is>
      </c>
      <c r="E25" s="25" t="inlineStr">
        <is>
          <t>Requested pick count exceeds the published pool for at least one blueprint line.</t>
        </is>
      </c>
      <c r="F25" s="25" t="inlineStr">
        <is>
          <t>1. Student starts a test whose pool is short
2. Assembly raises PoolInsufficientError carrying blueprintId, testSectionId, requested and available
3. The API returns a structured 4xx (never a 500)
4. InsufficientQuestionsDialog explains what was requested vs available and suggests a smaller count or wider scope
5. No partial attempt is persisted (whole transaction rolls back)</t>
        </is>
      </c>
      <c r="G25" s="25" t="inlineStr">
        <is>
          <t>No attempt row is created and the student is told exactly what to change.</t>
        </is>
      </c>
      <c r="H25" s="25" t="inlineStr">
        <is>
          <t>Critical</t>
        </is>
      </c>
      <c r="I25" s="25" t="inlineStr">
        <is>
          <t>Done</t>
        </is>
      </c>
      <c r="J25" s="25" t="inlineStr">
        <is>
          <t>Test Delivery</t>
        </is>
      </c>
      <c r="K25" s="25" t="inlineStr">
        <is>
          <t>components/ui/InsufficientQuestionsDialog.tsx; docs/TEST-CASES.md Bucket 2 (POOL-01..POOL-15) covers the boundary cases.</t>
        </is>
      </c>
    </row>
    <row r="26" s="16">
      <c r="A26" s="24" t="inlineStr">
        <is>
          <t>UC-025</t>
        </is>
      </c>
      <c r="B26" s="25" t="inlineStr">
        <is>
          <t>Take an image-only practice test</t>
        </is>
      </c>
      <c r="C26" s="25" t="inlineStr">
        <is>
          <t>Student</t>
        </is>
      </c>
      <c r="D26" s="25" t="inlineStr">
        <is>
          <t>As a student, I want a test made only of diagram/image questions so that I can train on visual items.</t>
        </is>
      </c>
      <c r="E26" s="25" t="inlineStr">
        <is>
          <t>Published questions with images exist in the chosen scope; OBJECT_STORAGE_BUCKET is configured.</t>
        </is>
      </c>
      <c r="F26" s="25" t="inlineStr">
        <is>
          <t>1. Choose the image-practice mode
2. POST /assess/sessions with mode 'image-practice' (hasImageOnly filter on every line)
3. Only image-bearing questions are drawn
4. Images resolve to Supabase Storage public URLs</t>
        </is>
      </c>
      <c r="G26" s="25" t="inlineStr">
        <is>
          <t>The attempt contains image questions only; a short pool fails loudly rather than substituting text questions.</t>
        </is>
      </c>
      <c r="H26" s="25" t="inlineStr">
        <is>
          <t>Medium</t>
        </is>
      </c>
      <c r="I26" s="25" t="inlineStr">
        <is>
          <t>Done</t>
        </is>
      </c>
      <c r="J26" s="25" t="inlineStr">
        <is>
          <t>Test Configuration</t>
        </is>
      </c>
      <c r="K26" s="25" t="inlineStr">
        <is>
          <t>sessionController mode 'image-practice' (docs/BUGS.md E1-E3); db/content/asset-resolver.ts; components/ui/QuestionImage.tsx.</t>
        </is>
      </c>
    </row>
    <row r="27" s="16">
      <c r="A27" s="24" t="inlineStr">
        <is>
          <t>UC-026</t>
        </is>
      </c>
      <c r="B27" s="25" t="inlineStr">
        <is>
          <t>Start a full NEET mock test</t>
        </is>
      </c>
      <c r="C27" s="25" t="inlineStr">
        <is>
          <t>Student</t>
        </is>
      </c>
      <c r="D27" s="25" t="inlineStr">
        <is>
          <t>As a student, I want a full-length NEET mock so that I can rehearse the real paper.</t>
        </is>
      </c>
      <c r="E27" s="25" t="inlineStr">
        <is>
          <t>Signed in; the student has completed at least one practice test; pools are sufficient in every subject.</t>
        </is>
      </c>
      <c r="F27" s="25" t="inlineStr">
        <is>
          <t>1. Click Mock Test
2. Server checks hasCompletedPracticeTest() and refuses with a clear message if not
3. POST /assess/sessions mode 'full-mock' builds the multi-section blueprint
4. Section order is shuffled, the attempt envelope is returned</t>
        </is>
      </c>
      <c r="G27" s="25" t="inlineStr">
        <is>
          <t>A full-mock attempt with all subject sections is live; a shortfall in any one subject fails the whole generation.</t>
        </is>
      </c>
      <c r="H27" s="25" t="inlineStr">
        <is>
          <t>Critical</t>
        </is>
      </c>
      <c r="I27" s="25" t="inlineStr">
        <is>
          <t>Done</t>
        </is>
      </c>
      <c r="J27" s="25" t="inlineStr">
        <is>
          <t>Test Configuration</t>
        </is>
      </c>
      <c r="K27" s="25" t="inlineStr">
        <is>
          <t>sessionController mode 'full-mock' plus the practice-first gate; docs/TEST-CASES.md POOL-09.</t>
        </is>
      </c>
    </row>
    <row r="28" s="16">
      <c r="A28" s="24" t="inlineStr">
        <is>
          <t>UC-027</t>
        </is>
      </c>
      <c r="B28" s="25" t="inlineStr">
        <is>
          <t>Build a custom multi-scope test</t>
        </is>
      </c>
      <c r="C28" s="25" t="inlineStr">
        <is>
          <t>Student</t>
        </is>
      </c>
      <c r="D28" s="25" t="inlineStr">
        <is>
          <t>As a student, I want to mix several chapters into one paper so that I can revise a group of topics together.</t>
        </is>
      </c>
      <c r="E28" s="25" t="inlineStr">
        <is>
          <t>Signed in; at least one scope selected; per-line pools sufficient.</t>
        </is>
      </c>
      <c r="F28" s="25" t="inlineStr">
        <is>
          <t>1. Choose Custom in the test directory
2. Add multiple subject/chapter lines and split the total question count across them
3. POST /assess/sessions mode 'custom'
4. One test with one line per selected scope is created and started</t>
        </is>
      </c>
      <c r="G28" s="25" t="inlineStr">
        <is>
          <t>A single custom attempt spans all chosen scopes with the requested distribution.</t>
        </is>
      </c>
      <c r="H28" s="25" t="inlineStr">
        <is>
          <t>High</t>
        </is>
      </c>
      <c r="I28" s="25" t="inlineStr">
        <is>
          <t>Done</t>
        </is>
      </c>
      <c r="J28" s="25" t="inlineStr">
        <is>
          <t>Test Configuration</t>
        </is>
      </c>
      <c r="K28" s="25" t="inlineStr">
        <is>
          <t>sessionController mode 'custom'; TestListView.distributeCount spreads the total across buckets.</t>
        </is>
      </c>
    </row>
    <row r="29" s="16">
      <c r="A29" s="24" t="inlineStr">
        <is>
          <t>UC-028</t>
        </is>
      </c>
      <c r="B29" s="25" t="inlineStr">
        <is>
          <t>Launch a test from a course unit or study-plan goal</t>
        </is>
      </c>
      <c r="C29" s="25" t="inlineStr">
        <is>
          <t>Student</t>
        </is>
      </c>
      <c r="D29" s="25" t="inlineStr">
        <is>
          <t>As a student, I want to start a test straight from the unit or goal I am looking at so that I do not rebuild the config by hand.</t>
        </is>
      </c>
      <c r="E29" s="25" t="inlineStr">
        <is>
          <t>Catalog loaded; the unit/goal can be name-matched to a catalog node.</t>
        </is>
      </c>
      <c r="F29" s="25" t="inlineStr">
        <is>
          <t>1. Click Build Test on a course unit or a plan goal
2. The app best-effort name-matches the local syllabus label to a live catalog node
3. A subject-wise session is created for that node
4. The student is routed into the lobby</t>
        </is>
      </c>
      <c r="G29" s="25" t="inlineStr">
        <is>
          <t>The attempt starts pre-scoped to the unit or goal the student was reading.</t>
        </is>
      </c>
      <c r="H29" s="25" t="inlineStr">
        <is>
          <t>Medium</t>
        </is>
      </c>
      <c r="I29" s="25" t="inlineStr">
        <is>
          <t>Done</t>
        </is>
      </c>
      <c r="J29" s="25" t="inlineStr">
        <is>
          <t>Test Configuration</t>
        </is>
      </c>
      <c r="K29" s="25" t="inlineStr">
        <is>
          <t>CoursesView.tsx / StudyPlanView.tsx name-match handoff (LA-APP-COMPLETION-001 Phase D9) — local syllabus strings are not catalog uuids.</t>
        </is>
      </c>
    </row>
    <row r="30" s="16">
      <c r="A30" s="24" t="inlineStr">
        <is>
          <t>UC-029</t>
        </is>
      </c>
      <c r="B30" s="25" t="inlineStr">
        <is>
          <t>Create a practice test definition through the API</t>
        </is>
      </c>
      <c r="C30" s="25" t="inlineStr">
        <is>
          <t>Integrator / Admin</t>
        </is>
      </c>
      <c r="D30" s="25" t="inlineStr">
        <is>
          <t>As an internal integrator, I want an HTTP endpoint that creates a single-scope practice test so that tests can be provisioned outside the student UI.</t>
        </is>
      </c>
      <c r="E30" s="25" t="inlineStr">
        <is>
          <t>Authenticated caller; valid examId/subjectId uuids and a single-scope test type.</t>
        </is>
      </c>
      <c r="F30" s="25" t="inlineStr">
        <is>
          <t>1. POST /assess/tests/practice with exam, scope, difficulty, count and section name
2. Zod validates the body against SINGLE_SCOPE_TEST_TYPES (MOCK excluded)
3. createPracticeTest() writes the test + blueprint
4. The test is published immediately and returned</t>
        </is>
      </c>
      <c r="G30" s="25" t="inlineStr">
        <is>
          <t>A published assess.test exists that any attempt flow can start.</t>
        </is>
      </c>
      <c r="H30" s="25" t="inlineStr">
        <is>
          <t>Medium</t>
        </is>
      </c>
      <c r="I30" s="25" t="inlineStr">
        <is>
          <t>Done</t>
        </is>
      </c>
      <c r="J30" s="25" t="inlineStr">
        <is>
          <t>Test Configuration</t>
        </is>
      </c>
      <c r="K30" s="25" t="inlineStr">
        <is>
          <t>backend/src/routes/assess.routes.ts POST /tests/practice; allowlist derived from TEST_TYPE_CONFIG so it cannot drift.</t>
        </is>
      </c>
    </row>
    <row r="31" s="16">
      <c r="A31" s="24" t="inlineStr">
        <is>
          <t>UC-030</t>
        </is>
      </c>
      <c r="B31" s="25" t="inlineStr">
        <is>
          <t>Run the pre-test system check</t>
        </is>
      </c>
      <c r="C31" s="25" t="inlineStr">
        <is>
          <t>Student</t>
        </is>
      </c>
      <c r="D31" s="25" t="inlineStr">
        <is>
          <t>As a student, I want my browser, network, display and memory checked before a test so that I do not fail mid-paper.</t>
        </is>
      </c>
      <c r="E31" s="25" t="inlineStr">
        <is>
          <t>A test has been configured and the student is entering the exam flow.</t>
        </is>
      </c>
      <c r="F31" s="25" t="inlineStr">
        <is>
          <t>1. SystemCheckView runs browser compatibility, network (download speed + ping), display and memory checks in sequence
2. Each check reports pending &gt; checking &gt; success
3. Student proceeds to the lobby, or cancels</t>
        </is>
      </c>
      <c r="G31" s="25" t="inlineStr">
        <is>
          <t>The student enters the exam only after the environment checks pass.</t>
        </is>
      </c>
      <c r="H31" s="25" t="inlineStr">
        <is>
          <t>Medium</t>
        </is>
      </c>
      <c r="I31" s="25" t="inlineStr">
        <is>
          <t>Done</t>
        </is>
      </c>
      <c r="J31" s="25" t="inlineStr">
        <is>
          <t>Test Delivery</t>
        </is>
      </c>
      <c r="K31" s="25" t="inlineStr">
        <is>
          <t>pages/SystemCheckView.tsx.</t>
        </is>
      </c>
    </row>
    <row r="32" s="16">
      <c r="A32" s="24" t="inlineStr">
        <is>
          <t>UC-031</t>
        </is>
      </c>
      <c r="B32" s="25" t="inlineStr">
        <is>
          <t>Wait in the exam lobby with a countdown</t>
        </is>
      </c>
      <c r="C32" s="25" t="inlineStr">
        <is>
          <t>Student</t>
        </is>
      </c>
      <c r="D32" s="25" t="inlineStr">
        <is>
          <t>As a student, I want a short settle-in period and honest disclosure about repeated questions so that I start the paper prepared.</t>
        </is>
      </c>
      <c r="E32" s="25" t="inlineStr">
        <is>
          <t>An attempt has been created for the chosen test.</t>
        </is>
      </c>
      <c r="F32" s="25" t="inlineStr">
        <is>
          <t>1. LobbyView shows the test title, code and mode
2. A 30-second countdown runs once per test code (a mid-flow refresh does not restart it)
3. If the paper contains recycled items, the count is disclosed before any answer is given
4. Start moves the student into the paper</t>
        </is>
      </c>
      <c r="G32" s="25" t="inlineStr">
        <is>
          <t>The student enters the test screen with full disclosure of recycled items.</t>
        </is>
      </c>
      <c r="H32" s="25" t="inlineStr">
        <is>
          <t>Medium</t>
        </is>
      </c>
      <c r="I32" s="25" t="inlineStr">
        <is>
          <t>Done</t>
        </is>
      </c>
      <c r="J32" s="25" t="inlineStr">
        <is>
          <t>Test Delivery</t>
        </is>
      </c>
      <c r="K32" s="25" t="inlineStr">
        <is>
          <t>pages/LobbyView.tsx; recycling disclosure per docs/no-repeat-questions-fix.md Phase 5.</t>
        </is>
      </c>
    </row>
    <row r="33" s="16">
      <c r="A33" s="24" t="inlineStr">
        <is>
          <t>UC-032</t>
        </is>
      </c>
      <c r="B33" s="25" t="inlineStr">
        <is>
          <t>Start an attempt with only one active at a time</t>
        </is>
      </c>
      <c r="C33" s="25" t="inlineStr">
        <is>
          <t>Student</t>
        </is>
      </c>
      <c r="D33" s="25" t="inlineStr">
        <is>
          <t>As a student, I want the system to stop me running two tests at once so that my progress is never split or lost.</t>
        </is>
      </c>
      <c r="E33" s="25" t="inlineStr">
        <is>
          <t>A published test exists; the student has no other in-progress attempt.</t>
        </is>
      </c>
      <c r="F33" s="25" t="inlineStr">
        <is>
          <t>1. POST /assess/attempts/start (or /assess/sessions)
2. An advisory lock closes the two-tab race window
3. assembleForAttempt() draws the questions and persists attempt_question rows
4. A second concurrent start receives ActiveAttemptExistsError pointing at the live attempt</t>
        </is>
      </c>
      <c r="G33" s="25" t="inlineStr">
        <is>
          <t>Exactly one in-progress attempt exists per student, with its paper frozen at creation time.</t>
        </is>
      </c>
      <c r="H33" s="25" t="inlineStr">
        <is>
          <t>Critical</t>
        </is>
      </c>
      <c r="I33" s="25" t="inlineStr">
        <is>
          <t>Done</t>
        </is>
      </c>
      <c r="J33" s="25" t="inlineStr">
        <is>
          <t>Test Delivery</t>
        </is>
      </c>
      <c r="K33" s="25" t="inlineStr">
        <is>
          <t>db/assess/test/attempt/attempt-flow.ts startAttempt; docs/TEST-CASES.md REP-08..REP-10, LOCK-09. DEFECT-BACKLOG DB-01 flags a remaining pool-exhaustion deadlock risk under 4+ concurrent BLUEPRINT starts.</t>
        </is>
      </c>
    </row>
    <row r="34" s="16">
      <c r="A34" s="24" t="inlineStr">
        <is>
          <t>UC-033</t>
        </is>
      </c>
      <c r="B34" s="25" t="inlineStr">
        <is>
          <t>Answer questions with autosaved responses</t>
        </is>
      </c>
      <c r="C34" s="25" t="inlineStr">
        <is>
          <t>Student</t>
        </is>
      </c>
      <c r="D34" s="25" t="inlineStr">
        <is>
          <t>As a student, I want every answer saved as I go so that a crash or disconnect does not cost me the paper.</t>
        </is>
      </c>
      <c r="E34" s="25" t="inlineStr">
        <is>
          <t>An in-progress attempt owned by the caller.</t>
        </is>
      </c>
      <c r="F34" s="25" t="inlineStr">
        <is>
          <t>1. Student selects an option
2. PATCH /assess/attempts/:attemptId/responses/:questionId saves it
3. Dirty answers are flushed in batches via PATCH /assess/attempts/:attemptId/responses
4. A flush is forced on tab blur and before unload</t>
        </is>
      </c>
      <c r="G34" s="25" t="inlineStr">
        <is>
          <t>assess.attempt_response holds the latest answer per question, independent of the client staying open.</t>
        </is>
      </c>
      <c r="H34" s="25" t="inlineStr">
        <is>
          <t>Critical</t>
        </is>
      </c>
      <c r="I34" s="25" t="inlineStr">
        <is>
          <t>Done</t>
        </is>
      </c>
      <c r="J34" s="25" t="inlineStr">
        <is>
          <t>Test Delivery</t>
        </is>
      </c>
      <c r="K34" s="25" t="inlineStr">
        <is>
          <t>assess.routes.ts saveResponse / batchSaveResponses; every attempt route is behind requireAttemptOwnership().</t>
        </is>
      </c>
    </row>
    <row r="35" s="16">
      <c r="A35" s="24" t="inlineStr">
        <is>
          <t>UC-034</t>
        </is>
      </c>
      <c r="B35" s="25" t="inlineStr">
        <is>
          <t>Navigate the paper and mark questions for review</t>
        </is>
      </c>
      <c r="C35" s="25" t="inlineStr">
        <is>
          <t>Student</t>
        </is>
      </c>
      <c r="D35" s="25" t="inlineStr">
        <is>
          <t>As a student, I want a question palette and flags so that I can manage my time across the paper.</t>
        </is>
      </c>
      <c r="E35" s="25" t="inlineStr">
        <is>
          <t>An in-progress attempt is open.</t>
        </is>
      </c>
      <c r="F35" s="25" t="inlineStr">
        <is>
          <t>1. Use next/previous or the palette to jump between questions
2. Sections render in real sequence order, questions in their own order within a section
3. Mark for review flags a question
4. The palette colour-codes answered / unanswered / marked</t>
        </is>
      </c>
      <c r="G35" s="25" t="inlineStr">
        <is>
          <t>The student can see and reach every question and its state at a glance.</t>
        </is>
      </c>
      <c r="H35" s="25" t="inlineStr">
        <is>
          <t>High</t>
        </is>
      </c>
      <c r="I35" s="25" t="inlineStr">
        <is>
          <t>Done</t>
        </is>
      </c>
      <c r="J35" s="25" t="inlineStr">
        <is>
          <t>Test Delivery</t>
        </is>
      </c>
      <c r="K35" s="25" t="inlineStr">
        <is>
          <t>pages/TestTakingView.tsx orderQuestions() reorders the envelope by section/question sequenceNo; mobile uses an off-canvas palette.</t>
        </is>
      </c>
    </row>
    <row r="36" s="16">
      <c r="A36" s="24" t="inlineStr">
        <is>
          <t>UC-035</t>
        </is>
      </c>
      <c r="B36" s="25" t="inlineStr">
        <is>
          <t>See the countdown timer and auto-submit at zero</t>
        </is>
      </c>
      <c r="C36" s="25" t="inlineStr">
        <is>
          <t>Student</t>
        </is>
      </c>
      <c r="D36" s="25" t="inlineStr">
        <is>
          <t>As a student, I want the paper to submit itself when time runs out so that the attempt is scored fairly like the real exam.</t>
        </is>
      </c>
      <c r="E36" s="25" t="inlineStr">
        <is>
          <t>An in-progress attempt with a duration.</t>
        </is>
      </c>
      <c r="F36" s="25" t="inlineStr">
        <is>
          <t>1. The timer counts down from the test duration
2. Warning states appear as time gets low
3. At zero, the client submits whatever has been answered
4. Elapsed minutes are reported with the submission</t>
        </is>
      </c>
      <c r="G36" s="25" t="inlineStr">
        <is>
          <t>The attempt is submitted and scored; nothing further can be answered.</t>
        </is>
      </c>
      <c r="H36" s="25" t="inlineStr">
        <is>
          <t>Critical</t>
        </is>
      </c>
      <c r="I36" s="25" t="inlineStr">
        <is>
          <t>Done</t>
        </is>
      </c>
      <c r="J36" s="25" t="inlineStr">
        <is>
          <t>Test Delivery</t>
        </is>
      </c>
      <c r="K36" s="25" t="inlineStr">
        <is>
          <t>TestTakingView.tsx timer + onCompleteTest(scorecard, elapsedMinutes); docs/TEST-CASES.md LOCK-18.</t>
        </is>
      </c>
    </row>
    <row r="37" s="16">
      <c r="A37" s="24" t="inlineStr">
        <is>
          <t>UC-036</t>
        </is>
      </c>
      <c r="B37" s="25" t="inlineStr">
        <is>
          <t>Stay inside the test (exam lockdown)</t>
        </is>
      </c>
      <c r="C37" s="25" t="inlineStr">
        <is>
          <t>Student</t>
        </is>
      </c>
      <c r="D37" s="25" t="inlineStr">
        <is>
          <t>As an exam operator, I want the test screen to resist navigation away so that attempts are taken under exam-like conditions.</t>
        </is>
      </c>
      <c r="E37" s="25" t="inlineStr">
        <is>
          <t>An in-progress attempt is open in the test screen.</t>
        </is>
      </c>
      <c r="F37" s="25" t="inlineStr">
        <is>
          <t>1. Browser back/forward is intercepted and confirmed rather than silently exiting
2. Closing the tab triggers the native beforeunload prompt
3. Exiting fullscreen shows a non-blocking 'return to fullscreen' overlay (never an auto-submit)
4. Non-allowlisted API calls are rejected while an attempt is active; submit and /me stay permitted</t>
        </is>
      </c>
      <c r="G37" s="25" t="inlineStr">
        <is>
          <t>The attempt cannot be abandoned by accident and side-channel API use is blocked.</t>
        </is>
      </c>
      <c r="H37" s="25" t="inlineStr">
        <is>
          <t>High</t>
        </is>
      </c>
      <c r="I37" s="25" t="inlineStr">
        <is>
          <t>In Progress</t>
        </is>
      </c>
      <c r="J37" s="25" t="inlineStr">
        <is>
          <t>Test Delivery</t>
        </is>
      </c>
      <c r="K37" s="25" t="inlineStr">
        <is>
          <t>docs/TEST-CASES.md Bucket 3 (LOCK-01..LOCK-20) is the acceptance list, including mobile variants — several cases are manual-only.</t>
        </is>
      </c>
    </row>
    <row r="38" s="16">
      <c r="A38" s="24" t="inlineStr">
        <is>
          <t>UC-037</t>
        </is>
      </c>
      <c r="B38" s="25" t="inlineStr">
        <is>
          <t>Record attempt events for integrity</t>
        </is>
      </c>
      <c r="C38" s="25" t="inlineStr">
        <is>
          <t>Exam operator / System</t>
        </is>
      </c>
      <c r="D38" s="25" t="inlineStr">
        <is>
          <t>As an exam operator, I want blur, focus and fullscreen-exit events recorded so that suspicious attempts can be reviewed.</t>
        </is>
      </c>
      <c r="E38" s="25" t="inlineStr">
        <is>
          <t>An in-progress attempt.</t>
        </is>
      </c>
      <c r="F38" s="25" t="inlineStr">
        <is>
          <t>1. The client detects visibilitychange / blur / fullscreen exit
2. POST /assess/attempts/:attemptId/events records the event
3. GET /assess/attempts/:attemptId/events replays the trail</t>
        </is>
      </c>
      <c r="G38" s="25" t="inlineStr">
        <is>
          <t>An append-only event trail exists per attempt.</t>
        </is>
      </c>
      <c r="H38" s="25" t="inlineStr">
        <is>
          <t>Medium</t>
        </is>
      </c>
      <c r="I38" s="25" t="inlineStr">
        <is>
          <t>Done</t>
        </is>
      </c>
      <c r="J38" s="25" t="inlineStr">
        <is>
          <t>Test Delivery</t>
        </is>
      </c>
      <c r="K38" s="25" t="inlineStr">
        <is>
          <t>assess.routes.ts postEvent / getEvents; docs/TEST-CASES.md LOCK-06.</t>
        </is>
      </c>
    </row>
    <row r="39" s="16">
      <c r="A39" s="24" t="inlineStr">
        <is>
          <t>UC-038</t>
        </is>
      </c>
      <c r="B39" s="25" t="inlineStr">
        <is>
          <t>Pause an attempt</t>
        </is>
      </c>
      <c r="C39" s="25" t="inlineStr">
        <is>
          <t>Student</t>
        </is>
      </c>
      <c r="D39" s="25" t="inlineStr">
        <is>
          <t>As a student interrupted mid-test, I want to pause so that my remaining time is not burned while I am away.</t>
        </is>
      </c>
      <c r="E39" s="25" t="inlineStr">
        <is>
          <t>An in-progress attempt owned by the caller.</t>
        </is>
      </c>
      <c r="F39" s="25" t="inlineStr">
        <is>
          <t>1. Student confirms Pause
2. POST /assess/attempts/:attemptId/pause stamps paused_at
3. The envelope freezes the clock at paused_at for any later read
4. The attempt appears as Paused in My Results</t>
        </is>
      </c>
      <c r="G39" s="25" t="inlineStr">
        <is>
          <t>The attempt is paused with its remaining time preserved exactly.</t>
        </is>
      </c>
      <c r="H39" s="25" t="inlineStr">
        <is>
          <t>High</t>
        </is>
      </c>
      <c r="I39" s="25" t="inlineStr">
        <is>
          <t>Done</t>
        </is>
      </c>
      <c r="J39" s="25" t="inlineStr">
        <is>
          <t>Test Delivery</t>
        </is>
      </c>
      <c r="K39" s="25" t="inlineStr">
        <is>
          <t>attempt-flow.ts pauseAttempt; envelope.ts referenceNowMs freezes the clock so viewing progress costs no time.</t>
        </is>
      </c>
    </row>
    <row r="40" s="16">
      <c r="A40" s="24" t="inlineStr">
        <is>
          <t>UC-039</t>
        </is>
      </c>
      <c r="B40" s="25" t="inlineStr">
        <is>
          <t>Resume a paused attempt</t>
        </is>
      </c>
      <c r="C40" s="25" t="inlineStr">
        <is>
          <t>Student</t>
        </is>
      </c>
      <c r="D40" s="25" t="inlineStr">
        <is>
          <t>As a student, I want to pick a paused test back up so that I can finish it later without restarting.</t>
        </is>
      </c>
      <c r="E40" s="25" t="inlineStr">
        <is>
          <t>An attempt in PAUSED state owned by the caller.</t>
        </is>
      </c>
      <c r="F40" s="25" t="inlineStr">
        <is>
          <t>1. Open the paused attempt from My Results (PausedAttemptPanel)
2. Review attempted / unattempted / marked counts — the clock stays frozen
3. Press Resume: POST /assess/attempts/:attemptId/resume restarts the clock
4. The test screen reopens with the saved answers and flags</t>
        </is>
      </c>
      <c r="G40" s="25" t="inlineStr">
        <is>
          <t>The attempt returns to IN_PROGRESS with the same paper and remaining time.</t>
        </is>
      </c>
      <c r="H40" s="25" t="inlineStr">
        <is>
          <t>High</t>
        </is>
      </c>
      <c r="I40" s="25" t="inlineStr">
        <is>
          <t>Done</t>
        </is>
      </c>
      <c r="J40" s="25" t="inlineStr">
        <is>
          <t>Test Delivery</t>
        </is>
      </c>
      <c r="K40" s="25" t="inlineStr">
        <is>
          <t>pages/PausedAttemptPanel.tsx (docs/test-engine-fix-prompt.md Defect 3) — Resume is the primary CTA, Submit now the secondary.</t>
        </is>
      </c>
    </row>
    <row r="41" s="16">
      <c r="A41" s="24" t="inlineStr">
        <is>
          <t>UC-040</t>
        </is>
      </c>
      <c r="B41" s="25" t="inlineStr">
        <is>
          <t>Recover an in-progress attempt after a refresh or crash</t>
        </is>
      </c>
      <c r="C41" s="25" t="inlineStr">
        <is>
          <t>Student</t>
        </is>
      </c>
      <c r="D41" s="25" t="inlineStr">
        <is>
          <t>As a student whose browser reloaded mid-test, I want to land back in my paper so that nothing is lost.</t>
        </is>
      </c>
      <c r="E41" s="25" t="inlineStr">
        <is>
          <t>An attempt in IN_PROGRESS state exists for the signed-in student.</t>
        </is>
      </c>
      <c r="F41" s="25" t="inlineStr">
        <is>
          <t>1. On app load, useResumableAttempt asks the server for an active attempt
2. GET /assess/attempts/:attemptId/envelope returns paper, saved answers, flags and remaining time
3. The student is offered (or routed straight into) the live attempt</t>
        </is>
      </c>
      <c r="G41" s="25" t="inlineStr">
        <is>
          <t>Answers, flags, current index and remaining time are all restored from the server.</t>
        </is>
      </c>
      <c r="H41" s="25" t="inlineStr">
        <is>
          <t>Critical</t>
        </is>
      </c>
      <c r="I41" s="25" t="inlineStr">
        <is>
          <t>Done</t>
        </is>
      </c>
      <c r="J41" s="25" t="inlineStr">
        <is>
          <t>Test Delivery</t>
        </is>
      </c>
      <c r="K41" s="25" t="inlineStr">
        <is>
          <t>frontend hooks/useResumableAttempt.ts; docs/TEST-CASES.md LOCK-05 (BUG-03/BUG-06).</t>
        </is>
      </c>
    </row>
    <row r="42" s="16">
      <c r="A42" s="24" t="inlineStr">
        <is>
          <t>UC-041</t>
        </is>
      </c>
      <c r="B42" s="25" t="inlineStr">
        <is>
          <t>Submit an attempt and get it scored on the server</t>
        </is>
      </c>
      <c r="C42" s="25" t="inlineStr">
        <is>
          <t>Student</t>
        </is>
      </c>
      <c r="D42" s="25" t="inlineStr">
        <is>
          <t>As a student, I want my paper scored by the server so that the result is trustworthy and consistent.</t>
        </is>
      </c>
      <c r="E42" s="25" t="inlineStr">
        <is>
          <t>An IN_PROGRESS or PAUSED attempt owned by the caller.</t>
        </is>
      </c>
      <c r="F42" s="25" t="inlineStr">
        <is>
          <t>1. Student confirms Submit (or the timer auto-submits)
2. POST /assess/attempts/:attemptId/submit closes the attempt in one transaction
3. Scoring applies the section marking scheme (positive/negative marks, partial credit)
4. EvaluatingView plays a fixed 1.5s animation while the already-returned scorecard is handed to the results screen
5. Re-submitting a closed attempt returns 410</t>
        </is>
      </c>
      <c r="G42" s="25" t="inlineStr">
        <is>
          <t>The attempt is SUBMITTED/SCORED, marks are persisted and the seen-question ledger is updated.</t>
        </is>
      </c>
      <c r="H42" s="25" t="inlineStr">
        <is>
          <t>Critical</t>
        </is>
      </c>
      <c r="I42" s="25" t="inlineStr">
        <is>
          <t>Done</t>
        </is>
      </c>
      <c r="J42" s="25" t="inlineStr">
        <is>
          <t>Results &amp; Reporting</t>
        </is>
      </c>
      <c r="K42" s="25" t="inlineStr">
        <is>
          <t>attempt-flow.ts submitAttempt; db/assess/scoring/*; pages/EvaluatingView.tsx (P2-13 replaced the random progress simulation).</t>
        </is>
      </c>
    </row>
    <row r="43" s="16">
      <c r="A43" s="24" t="inlineStr">
        <is>
          <t>UC-042</t>
        </is>
      </c>
      <c r="B43" s="25" t="inlineStr">
        <is>
          <t>Never repeat a question inside an attempt, and avoid repeats across attempts</t>
        </is>
      </c>
      <c r="C43" s="25" t="inlineStr">
        <is>
          <t>Student</t>
        </is>
      </c>
      <c r="D43" s="25" t="inlineStr">
        <is>
          <t>As a student, I want fresh questions so that mock tests actually measure learning rather than memory of the same items.</t>
        </is>
      </c>
      <c r="E43" s="25" t="inlineStr">
        <is>
          <t>A published pool larger than the requested count where possible.</t>
        </is>
      </c>
      <c r="F43" s="25" t="inlineStr">
        <is>
          <t>1. Assembly enforces per-attempt uniqueness (attempt_question PK plus globallyPicked across blueprint lines)
2. Previously seen questions are soft-sorted last using assess.user_question_seen
3. When the pool is exhausted, seen questions are reused rather than failing, and the lobby discloses the recycled count</t>
        </is>
      </c>
      <c r="G43" s="25" t="inlineStr">
        <is>
          <t>No duplicate question inside one paper; repeats across papers are minimised and disclosed.</t>
        </is>
      </c>
      <c r="H43" s="25" t="inlineStr">
        <is>
          <t>Critical</t>
        </is>
      </c>
      <c r="I43" s="25" t="inlineStr">
        <is>
          <t>Done</t>
        </is>
      </c>
      <c r="J43" s="25" t="inlineStr">
        <is>
          <t>Test Delivery</t>
        </is>
      </c>
      <c r="K43" s="25" t="inlineStr">
        <is>
          <t>docs/no-repeat-questions-fix.md; docs/TEST-CASES.md Bucket 1 (REP-01..REP-25). REP-13 records an open policy question on hard vs soft anti-repeat windows.</t>
        </is>
      </c>
    </row>
    <row r="44" s="16">
      <c r="A44" s="24" t="inlineStr">
        <is>
          <t>UC-043</t>
        </is>
      </c>
      <c r="B44" s="25" t="inlineStr">
        <is>
          <t>View the scorecard after finishing a test</t>
        </is>
      </c>
      <c r="C44" s="25" t="inlineStr">
        <is>
          <t>Student</t>
        </is>
      </c>
      <c r="D44" s="25" t="inlineStr">
        <is>
          <t>As a student, I want my score right after submitting so that I know immediately how I did.</t>
        </is>
      </c>
      <c r="E44" s="25" t="inlineStr">
        <is>
          <t>A scored attempt exists.</t>
        </is>
      </c>
      <c r="F44" s="25" t="inlineStr">
        <is>
          <t>1. GET /assess/attempts/:attemptId/scorecard
2. Total marks, accuracy, attempted/correct/incorrect counts and per-subject breakdown are shown
3. Marks stay as exact numeric strings (no rounding in transit) and render without trailing zeros</t>
        </is>
      </c>
      <c r="G44" s="25" t="inlineStr">
        <is>
          <t>The student sees the authoritative server-computed result.</t>
        </is>
      </c>
      <c r="H44" s="25" t="inlineStr">
        <is>
          <t>Critical</t>
        </is>
      </c>
      <c r="I44" s="25" t="inlineStr">
        <is>
          <t>Done</t>
        </is>
      </c>
      <c r="J44" s="25" t="inlineStr">
        <is>
          <t>Results &amp; Reporting</t>
        </is>
      </c>
      <c r="K44" s="25" t="inlineStr">
        <is>
          <t>assess.routes.ts getScorecard; pages/DashboardView.tsx formatMarks.</t>
        </is>
      </c>
    </row>
    <row r="45" s="16">
      <c r="A45" s="24" t="inlineStr">
        <is>
          <t>UC-044</t>
        </is>
      </c>
      <c r="B45" s="25" t="inlineStr">
        <is>
          <t>Browse my results history</t>
        </is>
      </c>
      <c r="C45" s="25" t="inlineStr">
        <is>
          <t>Student</t>
        </is>
      </c>
      <c r="D45" s="25" t="inlineStr">
        <is>
          <t>As a student, I want a searchable history of my attempts so that I can track progress over time.</t>
        </is>
      </c>
      <c r="E45" s="25" t="inlineStr">
        <is>
          <t>The student has at least one attempt.</t>
        </is>
      </c>
      <c r="F45" s="25" t="inlineStr">
        <is>
          <t>1. Open My Results
2. GET /assess/attempts lists the student's own attempts
3. Filter by mode (Practice / Full Mock / Image Only / Custom), sort by date, score or title, page 10 at a time
4. Open any attempt for its detailed report</t>
        </is>
      </c>
      <c r="G45" s="25" t="inlineStr">
        <is>
          <t>The student can find and open any past attempt.</t>
        </is>
      </c>
      <c r="H45" s="25" t="inlineStr">
        <is>
          <t>High</t>
        </is>
      </c>
      <c r="I45" s="25" t="inlineStr">
        <is>
          <t>Done</t>
        </is>
      </c>
      <c r="J45" s="25" t="inlineStr">
        <is>
          <t>Results &amp; Reporting</t>
        </is>
      </c>
      <c r="K45" s="25" t="inlineStr">
        <is>
          <t>pages/MyResultsView.tsx listOwnAttempts. DEFECT-BACKLOG DB-03: some other screens still read App.tsx's ephemeral attempts array instead of the server list.</t>
        </is>
      </c>
    </row>
    <row r="46" s="16">
      <c r="A46" s="24" t="inlineStr">
        <is>
          <t>UC-045</t>
        </is>
      </c>
      <c r="B46" s="25" t="inlineStr">
        <is>
          <t>Review an attempt question by question</t>
        </is>
      </c>
      <c r="C46" s="25" t="inlineStr">
        <is>
          <t>Student</t>
        </is>
      </c>
      <c r="D46" s="25" t="inlineStr">
        <is>
          <t>As a student, I want to see each question with my answer, the correct answer and time spent so that I can learn from mistakes.</t>
        </is>
      </c>
      <c r="E46" s="25" t="inlineStr">
        <is>
          <t>A scored attempt owned by the caller.</t>
        </is>
      </c>
      <c r="F46" s="25" t="inlineStr">
        <is>
          <t>1. Open a report and choose Review
2. GET /assess/attempts/:attemptId/review returns question, response, correct answer and time spent
3. Filter by all / correct / incorrect / unattempted
4. Nothing is scored client-side — the view only reads and filters</t>
        </is>
      </c>
      <c r="G46" s="25" t="inlineStr">
        <is>
          <t>The student can walk the whole paper with correctness and timing exposed.</t>
        </is>
      </c>
      <c r="H46" s="25" t="inlineStr">
        <is>
          <t>High</t>
        </is>
      </c>
      <c r="I46" s="25" t="inlineStr">
        <is>
          <t>Done</t>
        </is>
      </c>
      <c r="J46" s="25" t="inlineStr">
        <is>
          <t>Results &amp; Reporting</t>
        </is>
      </c>
      <c r="K46" s="25" t="inlineStr">
        <is>
          <t>pages/AttemptReviewView.tsx (LA-APP-COMPLETION-001 Phase G4).</t>
        </is>
      </c>
    </row>
    <row r="47" s="16">
      <c r="A47" s="24" t="inlineStr">
        <is>
          <t>UC-046</t>
        </is>
      </c>
      <c r="B47" s="25" t="inlineStr">
        <is>
          <t>View my IRT ability estimate</t>
        </is>
      </c>
      <c r="C47" s="25" t="inlineStr">
        <is>
          <t>Student</t>
        </is>
      </c>
      <c r="D47" s="25" t="inlineStr">
        <is>
          <t>As a student, I want an ability estimate rather than a raw score so that I understand my true standing.</t>
        </is>
      </c>
      <c r="E47" s="25" t="inlineStr">
        <is>
          <t>A scored attempt with enough responses for the IRT model.</t>
        </is>
      </c>
      <c r="F47" s="25" t="inlineStr">
        <is>
          <t>1. Open a detailed report
2. GET /assess/attempts/:attemptId/irt returns the ability estimate and item-level statistics
3. IrtSection renders the ability band and its confidence</t>
        </is>
      </c>
      <c r="G47" s="25" t="inlineStr">
        <is>
          <t>The student sees an ability-based reading of the attempt alongside the raw score.</t>
        </is>
      </c>
      <c r="H47" s="25" t="inlineStr">
        <is>
          <t>Medium</t>
        </is>
      </c>
      <c r="I47" s="25" t="inlineStr">
        <is>
          <t>Done</t>
        </is>
      </c>
      <c r="J47" s="25" t="inlineStr">
        <is>
          <t>Results &amp; Reporting</t>
        </is>
      </c>
      <c r="K47" s="25" t="inlineStr">
        <is>
          <t>assess.routes.ts getIrtReportHandler; components/ui/IrtSection.tsx (P1-7).</t>
        </is>
      </c>
    </row>
    <row r="48" s="16">
      <c r="A48" s="24" t="inlineStr">
        <is>
          <t>UC-047</t>
        </is>
      </c>
      <c r="B48" s="25" t="inlineStr">
        <is>
          <t>Compare my result against the cohort</t>
        </is>
      </c>
      <c r="C48" s="25" t="inlineStr">
        <is>
          <t>Student</t>
        </is>
      </c>
      <c r="D48" s="25" t="inlineStr">
        <is>
          <t>As a student, I want to see how I did relative to other candidates so that I know where I stand.</t>
        </is>
      </c>
      <c r="E48" s="25" t="inlineStr">
        <is>
          <t>A scored attempt and enough cohort attempts for a meaningful comparison.</t>
        </is>
      </c>
      <c r="F48" s="25" t="inlineStr">
        <is>
          <t>1. Open the detailed report
2. GET /assess/attempts/:attemptId/cohort returns percentile and cohort distribution
3. The report shows the student's position against the cohort</t>
        </is>
      </c>
      <c r="G48" s="25" t="inlineStr">
        <is>
          <t>The student sees a relative, not just absolute, result.</t>
        </is>
      </c>
      <c r="H48" s="25" t="inlineStr">
        <is>
          <t>Medium</t>
        </is>
      </c>
      <c r="I48" s="25" t="inlineStr">
        <is>
          <t>Done</t>
        </is>
      </c>
      <c r="J48" s="25" t="inlineStr">
        <is>
          <t>Results &amp; Reporting</t>
        </is>
      </c>
      <c r="K48" s="25" t="inlineStr">
        <is>
          <t>assess.routes.ts getCohortComparisonHandler.</t>
        </is>
      </c>
    </row>
    <row r="49" s="16">
      <c r="A49" s="24" t="inlineStr">
        <is>
          <t>UC-048</t>
        </is>
      </c>
      <c r="B49" s="25" t="inlineStr">
        <is>
          <t>View the performance analytics dashboard</t>
        </is>
      </c>
      <c r="C49" s="25" t="inlineStr">
        <is>
          <t>Student</t>
        </is>
      </c>
      <c r="D49" s="25" t="inlineStr">
        <is>
          <t>As a student, I want trends across all my attempts so that I can see whether I am improving and where I am weak.</t>
        </is>
      </c>
      <c r="E49" s="25" t="inlineStr">
        <is>
          <t>At least one scored attempt.</t>
        </is>
      </c>
      <c r="F49" s="25" t="inlineStr">
        <is>
          <t>1. Open Analytics
2. GET /analytics/dashboard returns SQL-aggregated metrics across every scored attempt
3. Score trend, subject radar, accuracy bars and weak-area lists render
4. Drill into any attempt from a chart</t>
        </is>
      </c>
      <c r="G49" s="25" t="inlineStr">
        <is>
          <t>The student sees real aggregated performance, not client-side maths over a local array.</t>
        </is>
      </c>
      <c r="H49" s="25" t="inlineStr">
        <is>
          <t>High</t>
        </is>
      </c>
      <c r="I49" s="25" t="inlineStr">
        <is>
          <t>Done</t>
        </is>
      </c>
      <c r="J49" s="25" t="inlineStr">
        <is>
          <t>Analytics</t>
        </is>
      </c>
      <c r="K49" s="25" t="inlineStr">
        <is>
          <t>pages/AnalyticsView.tsx + hooks/useDashboardAnalytics.ts; backend controllers/analyticsController.ts getDashboard (Phase G rewrite).</t>
        </is>
      </c>
    </row>
    <row r="50" s="16">
      <c r="A50" s="24" t="inlineStr">
        <is>
          <t>UC-049</t>
        </is>
      </c>
      <c r="B50" s="25" t="inlineStr">
        <is>
          <t>Download a report as a branded PDF</t>
        </is>
      </c>
      <c r="C50" s="25" t="inlineStr">
        <is>
          <t>Student</t>
        </is>
      </c>
      <c r="D50" s="25" t="inlineStr">
        <is>
          <t>As a student, I want a PDF of my report so that I can keep it or show it to a mentor.</t>
        </is>
      </c>
      <c r="E50" s="25" t="inlineStr">
        <is>
          <t>A report (scorecard, review or analytics) is open.</t>
        </is>
      </c>
      <c r="F50" s="25" t="inlineStr">
        <is>
          <t>1. Click Download PDF
2. The report node is rasterised with html2canvas and written to a PDF with a Lumen brand header
3. The file downloads</t>
        </is>
      </c>
      <c r="G50" s="25" t="inlineStr">
        <is>
          <t>The student holds an offline, branded copy of the report.</t>
        </is>
      </c>
      <c r="H50" s="25" t="inlineStr">
        <is>
          <t>Medium</t>
        </is>
      </c>
      <c r="I50" s="25" t="inlineStr">
        <is>
          <t>Done</t>
        </is>
      </c>
      <c r="J50" s="25" t="inlineStr">
        <is>
          <t>Results &amp; Reporting</t>
        </is>
      </c>
      <c r="K50" s="25" t="inlineStr">
        <is>
          <t>services/pdfExport.ts; components/ui/ReportBrandHeader.tsx + ReportSummary.tsx (P1-12). Loaded lazily so recharts/jsPDF stay out of the initial bundle.</t>
        </is>
      </c>
    </row>
    <row r="51" s="16">
      <c r="A51" s="24" t="inlineStr">
        <is>
          <t>UC-050</t>
        </is>
      </c>
      <c r="B51" s="25" t="inlineStr">
        <is>
          <t>Share my scorecard</t>
        </is>
      </c>
      <c r="C51" s="25" t="inlineStr">
        <is>
          <t>Student</t>
        </is>
      </c>
      <c r="D51" s="25" t="inlineStr">
        <is>
          <t>As a student, I want to share my result so that I can celebrate or get feedback.</t>
        </is>
      </c>
      <c r="E51" s="25" t="inlineStr">
        <is>
          <t>A scored attempt is open on the dashboard.</t>
        </is>
      </c>
      <c r="F51" s="25" t="inlineStr">
        <is>
          <t>1. Click Share Scorecard
2. shareElementAsImage() rasterises the card and offers the native share sheet with a score caption
3. Cancelling the sheet is treated as a cancel, not a failure
4. If sharing is unavailable, a clear reason is shown</t>
        </is>
      </c>
      <c r="G51" s="25" t="inlineStr">
        <is>
          <t>The scorecard image/text is handed to the OS share sheet or the failure is explained.</t>
        </is>
      </c>
      <c r="H51" s="25" t="inlineStr">
        <is>
          <t>Low</t>
        </is>
      </c>
      <c r="I51" s="25" t="inlineStr">
        <is>
          <t>Done</t>
        </is>
      </c>
      <c r="J51" s="25" t="inlineStr">
        <is>
          <t>Results &amp; Reporting</t>
        </is>
      </c>
      <c r="K51" s="25" t="inlineStr">
        <is>
          <t>services/shareScorecard.ts; DashboardView share states idle/working/done/failed.</t>
        </is>
      </c>
    </row>
    <row r="52" s="16">
      <c r="A52" s="24" t="inlineStr">
        <is>
          <t>UC-051</t>
        </is>
      </c>
      <c r="B52" s="25" t="inlineStr">
        <is>
          <t>Create and save my study plan</t>
        </is>
      </c>
      <c r="C52" s="25" t="inlineStr">
        <is>
          <t>Student</t>
        </is>
      </c>
      <c r="D52" s="25" t="inlineStr">
        <is>
          <t>As a student, I want a study plan tied to my target date so that my preparation has structure.</t>
        </is>
      </c>
      <c r="E52" s="25" t="inlineStr">
        <is>
          <t>Signed in.</t>
        </is>
      </c>
      <c r="F52" s="25" t="inlineStr">
        <is>
          <t>1. Open Study Plan
2. GET /learn/study-plans/me returns the active plan (or none)
3. Build the plan and POST /learn/study-plans/me to save it
4. POST /learn/study-plans/reset starts over when needed</t>
        </is>
      </c>
      <c r="G52" s="25" t="inlineStr">
        <is>
          <t>One active learn.study_plan row exists per student, editable at any time.</t>
        </is>
      </c>
      <c r="H52" s="25" t="inlineStr">
        <is>
          <t>High</t>
        </is>
      </c>
      <c r="I52" s="25" t="inlineStr">
        <is>
          <t>Done</t>
        </is>
      </c>
      <c r="J52" s="25" t="inlineStr">
        <is>
          <t>Study &amp; Learn Tools</t>
        </is>
      </c>
      <c r="K52" s="25" t="inlineStr">
        <is>
          <t>backend/src/controllers/studyPlanFlowController.ts; 'me'/'reset' registered before the generic CRUD router (BUG-19).</t>
        </is>
      </c>
    </row>
    <row r="53" s="16">
      <c r="A53" s="24" t="inlineStr">
        <is>
          <t>UC-052</t>
        </is>
      </c>
      <c r="B53" s="25" t="inlineStr">
        <is>
          <t>Manage study plan goals</t>
        </is>
      </c>
      <c r="C53" s="25" t="inlineStr">
        <is>
          <t>Student</t>
        </is>
      </c>
      <c r="D53" s="25" t="inlineStr">
        <is>
          <t>As a student, I want to add, edit, reorder and delete chapter goals so that my plan reflects what I actually intend to cover.</t>
        </is>
      </c>
      <c r="E53" s="25" t="inlineStr">
        <is>
          <t>An active study plan owned by the caller.</t>
        </is>
      </c>
      <c r="F53" s="25" t="inlineStr">
        <is>
          <t>1. Add a goal (subject + chapter) via POST /learn/study-plans/:planId/goals
2. Edit it with PATCH .../goals/:goalId
3. Reorder with PUT .../goals/order
4. Delete with DELETE .../goals/:goalId</t>
        </is>
      </c>
      <c r="G53" s="25" t="inlineStr">
        <is>
          <t>learn.study_plan_goal reflects the student's real checklist, ordered as they arranged it.</t>
        </is>
      </c>
      <c r="H53" s="25" t="inlineStr">
        <is>
          <t>High</t>
        </is>
      </c>
      <c r="I53" s="25" t="inlineStr">
        <is>
          <t>Done</t>
        </is>
      </c>
      <c r="J53" s="25" t="inlineStr">
        <is>
          <t>Study &amp; Learn Tools</t>
        </is>
      </c>
      <c r="K53" s="25" t="inlineStr">
        <is>
          <t>studyPlanFlowController; requirePlanOwnership() resolves ownership once per request. Replaced the previous 8 hardcoded sample goals.</t>
        </is>
      </c>
    </row>
    <row r="54" s="16">
      <c r="A54" s="24" t="inlineStr">
        <is>
          <t>UC-053</t>
        </is>
      </c>
      <c r="B54" s="25" t="inlineStr">
        <is>
          <t>Track study plan task completion</t>
        </is>
      </c>
      <c r="C54" s="25" t="inlineStr">
        <is>
          <t>Student</t>
        </is>
      </c>
      <c r="D54" s="25" t="inlineStr">
        <is>
          <t>As a student, I want to tick tasks off my plan so that I can see momentum.</t>
        </is>
      </c>
      <c r="E54" s="25" t="inlineStr">
        <is>
          <t>An active plan with generated tasks.</t>
        </is>
      </c>
      <c r="F54" s="25" t="inlineStr">
        <is>
          <t>1. GET /learn/study-plans/:planId/tasks lists the plan's tasks
2. PATCH .../tasks/:taskId updates a task's status
3. Plan progress recalculates</t>
        </is>
      </c>
      <c r="G54" s="25" t="inlineStr">
        <is>
          <t>Task status is persisted per plan and reflected in progress indicators.</t>
        </is>
      </c>
      <c r="H54" s="25" t="inlineStr">
        <is>
          <t>Medium</t>
        </is>
      </c>
      <c r="I54" s="25" t="inlineStr">
        <is>
          <t>Done</t>
        </is>
      </c>
      <c r="J54" s="25" t="inlineStr">
        <is>
          <t>Study &amp; Learn Tools</t>
        </is>
      </c>
      <c r="K54" s="25" t="inlineStr">
        <is>
          <t>controllers/learnFlowController.ts getPlanTasks / patchPlanTaskStatus.</t>
        </is>
      </c>
    </row>
    <row r="55" s="16">
      <c r="A55" s="24" t="inlineStr">
        <is>
          <t>UC-054</t>
        </is>
      </c>
      <c r="B55" s="25" t="inlineStr">
        <is>
          <t>Keep my own custom study tasks</t>
        </is>
      </c>
      <c r="C55" s="25" t="inlineStr">
        <is>
          <t>Student</t>
        </is>
      </c>
      <c r="D55" s="25" t="inlineStr">
        <is>
          <t>As a student, I want to add my own to-dos so that the plan covers things the syllabus does not.</t>
        </is>
      </c>
      <c r="E55" s="25" t="inlineStr">
        <is>
          <t>Signed in.</t>
        </is>
      </c>
      <c r="F55" s="25" t="inlineStr">
        <is>
          <t>1. Open My Custom Study Tasks on the Study Plan screen
2. GET /learn/custom-tasks lists the student's own tasks
3. Create, update and delete through the owned CRUD routes</t>
        </is>
      </c>
      <c r="G55" s="25" t="inlineStr">
        <is>
          <t>Custom tasks are persisted server-side per user.</t>
        </is>
      </c>
      <c r="H55" s="25" t="inlineStr">
        <is>
          <t>Medium</t>
        </is>
      </c>
      <c r="I55" s="25" t="inlineStr">
        <is>
          <t>Done</t>
        </is>
      </c>
      <c r="J55" s="25" t="inlineStr">
        <is>
          <t>Study &amp; Learn Tools</t>
        </is>
      </c>
      <c r="K55" s="25" t="inlineStr">
        <is>
          <t>learn.routes.ts /custom-tasks (BUG-20/21/22 — previously pointed at nonexistent tables/localStorage).</t>
        </is>
      </c>
    </row>
    <row r="56" s="16">
      <c r="A56" s="24" t="inlineStr">
        <is>
          <t>UC-055</t>
        </is>
      </c>
      <c r="B56" s="25" t="inlineStr">
        <is>
          <t>Keep personal revision notes</t>
        </is>
      </c>
      <c r="C56" s="25" t="inlineStr">
        <is>
          <t>Student</t>
        </is>
      </c>
      <c r="D56" s="25" t="inlineStr">
        <is>
          <t>As a student, I want to write notes against my revision so that I can come back to my own explanations.</t>
        </is>
      </c>
      <c r="E56" s="25" t="inlineStr">
        <is>
          <t>Signed in.</t>
        </is>
      </c>
      <c r="F56" s="25" t="inlineStr">
        <is>
          <t>1. Open My Personal Revision Notes
2. GET /learn/revision-notes lists them
3. Create, update and delete via the owned CRUD routes</t>
        </is>
      </c>
      <c r="G56" s="25" t="inlineStr">
        <is>
          <t>Notes persist across devices and sessions.</t>
        </is>
      </c>
      <c r="H56" s="25" t="inlineStr">
        <is>
          <t>Medium</t>
        </is>
      </c>
      <c r="I56" s="25" t="inlineStr">
        <is>
          <t>Done</t>
        </is>
      </c>
      <c r="J56" s="25" t="inlineStr">
        <is>
          <t>Study &amp; Learn Tools</t>
        </is>
      </c>
      <c r="K56" s="25" t="inlineStr">
        <is>
          <t>learn.routes.ts /revision-notes; services/revisionNotesApi.ts.</t>
        </is>
      </c>
    </row>
    <row r="57" s="16">
      <c r="A57" s="24" t="inlineStr">
        <is>
          <t>UC-056</t>
        </is>
      </c>
      <c r="B57" s="25" t="inlineStr">
        <is>
          <t>Review daily flashcards</t>
        </is>
      </c>
      <c r="C57" s="25" t="inlineStr">
        <is>
          <t>Student</t>
        </is>
      </c>
      <c r="D57" s="25" t="inlineStr">
        <is>
          <t>As a student, I want a flashcard to review each day so that recall stays sharp.</t>
        </is>
      </c>
      <c r="E57" s="25" t="inlineStr">
        <is>
          <t>Flashcards exist for the student.</t>
        </is>
      </c>
      <c r="F57" s="25" t="inlineStr">
        <is>
          <t>1. The dashboard shows the day's flashcard
2. Reveal the answer and grade the recall
3. POST /learn/flashcards/:flashcardId/reviews records the review
4. GET .../reviews returns the review history</t>
        </is>
      </c>
      <c r="G57" s="25" t="inlineStr">
        <is>
          <t>Flashcard review history accumulates per card, scoped to the owning student's deck.</t>
        </is>
      </c>
      <c r="H57" s="25" t="inlineStr">
        <is>
          <t>Medium</t>
        </is>
      </c>
      <c r="I57" s="25" t="inlineStr">
        <is>
          <t>Done</t>
        </is>
      </c>
      <c r="J57" s="25" t="inlineStr">
        <is>
          <t>Study &amp; Learn Tools</t>
        </is>
      </c>
      <c r="K57" s="25" t="inlineStr">
        <is>
          <t>components/ui/dashboard/DailyFlashcard.tsx; learnFlowController getFlashcardReviews/postFlashcardReview behind requireDeckOwnership().</t>
        </is>
      </c>
    </row>
    <row r="58" s="16">
      <c r="A58" s="24" t="inlineStr">
        <is>
          <t>UC-057</t>
        </is>
      </c>
      <c r="B58" s="25" t="inlineStr">
        <is>
          <t>Run a focus (Pomodoro) session and build a study streak</t>
        </is>
      </c>
      <c r="C58" s="25" t="inlineStr">
        <is>
          <t>Student</t>
        </is>
      </c>
      <c r="D58" s="25" t="inlineStr">
        <is>
          <t>As a student, I want timed focus sessions logged so that I can build and see a study streak.</t>
        </is>
      </c>
      <c r="E58" s="25" t="inlineStr">
        <is>
          <t>Signed in.</t>
        </is>
      </c>
      <c r="F58" s="25" t="inlineStr">
        <is>
          <t>1. Open Focus Mode from the header
2. Run a Pomodoro cycle
3. The completed session is POSTed to /learn/pomodoro-sessions
4. GET /learn/pomodoro-sessions?limit=N feeds the header/dashboard streak counter (capped at 200)</t>
        </is>
      </c>
      <c r="G58" s="25" t="inlineStr">
        <is>
          <t>Sessions are persisted and the consecutive-day streak is computed from real data.</t>
        </is>
      </c>
      <c r="H58" s="25" t="inlineStr">
        <is>
          <t>Medium</t>
        </is>
      </c>
      <c r="I58" s="25" t="inlineStr">
        <is>
          <t>Done</t>
        </is>
      </c>
      <c r="J58" s="25" t="inlineStr">
        <is>
          <t>Study &amp; Learn Tools</t>
        </is>
      </c>
      <c r="K58" s="25" t="inlineStr">
        <is>
          <t>components/ui/dashboard/{FocusMode,PomodoroTimer}.tsx; learn.routes.ts pomodoroSessionsListRouter (BUG-22).</t>
        </is>
      </c>
    </row>
    <row r="59" s="16">
      <c r="A59" s="24" t="inlineStr">
        <is>
          <t>UC-058</t>
        </is>
      </c>
      <c r="B59" s="25" t="inlineStr">
        <is>
          <t>Receive and manage in-app notifications</t>
        </is>
      </c>
      <c r="C59" s="25" t="inlineStr">
        <is>
          <t>Student</t>
        </is>
      </c>
      <c r="D59" s="25" t="inlineStr">
        <is>
          <t>As a student, I want notifications in one place so that I do not miss reminders and results.</t>
        </is>
      </c>
      <c r="E59" s="25" t="inlineStr">
        <is>
          <t>Signed in.</t>
        </is>
      </c>
      <c r="F59" s="25" t="inlineStr">
        <is>
          <t>1. The header bell shows the unread count
2. GET /learn/notifications lists them
3. PATCH /learn/notifications/read-all marks everything read
4. DELETE /learn/notifications clears the list</t>
        </is>
      </c>
      <c r="G59" s="25" t="inlineStr">
        <is>
          <t>Notification state is server-side and consistent across devices.</t>
        </is>
      </c>
      <c r="H59" s="25" t="inlineStr">
        <is>
          <t>Medium</t>
        </is>
      </c>
      <c r="I59" s="25" t="inlineStr">
        <is>
          <t>Done</t>
        </is>
      </c>
      <c r="J59" s="25" t="inlineStr">
        <is>
          <t>Notifications</t>
        </is>
      </c>
      <c r="K59" s="25" t="inlineStr">
        <is>
          <t>components/ui/NotificationBell.tsx; learn.routes.ts notificationsListRouter (P0-5 clear-all).</t>
        </is>
      </c>
    </row>
    <row r="60" s="16">
      <c r="A60" s="24" t="inlineStr">
        <is>
          <t>UC-059</t>
        </is>
      </c>
      <c r="B60" s="25" t="inlineStr">
        <is>
          <t>Get a daily study reminder</t>
        </is>
      </c>
      <c r="C60" s="25" t="inlineStr">
        <is>
          <t>Student</t>
        </is>
      </c>
      <c r="D60" s="25" t="inlineStr">
        <is>
          <t>As a student, I want a nudge on days I have not practised so that I keep my streak going.</t>
        </is>
      </c>
      <c r="E60" s="25" t="inlineStr">
        <is>
          <t>Signed in; the student has not taken a test today.</t>
        </is>
      </c>
      <c r="F60" s="25" t="inlineStr">
        <is>
          <t>1. On app load the client checks today's activity
2. DailyReminderModal prompts the student to practise
3. The student starts a test or dismisses the reminder</t>
        </is>
      </c>
      <c r="G60" s="25" t="inlineStr">
        <is>
          <t>The student is nudged at most once per day.</t>
        </is>
      </c>
      <c r="H60" s="25" t="inlineStr">
        <is>
          <t>Low</t>
        </is>
      </c>
      <c r="I60" s="25" t="inlineStr">
        <is>
          <t>In Progress</t>
        </is>
      </c>
      <c r="J60" s="25" t="inlineStr">
        <is>
          <t>Notifications</t>
        </is>
      </c>
      <c r="K60" s="25" t="inlineStr">
        <is>
          <t>components/layout/DailyReminderModal.tsx. DEFECT-BACKLOG DB-03: the 'did they test today' check still reads App.tsx's ephemeral attempts array, so it misfires after a fresh login.</t>
        </is>
      </c>
    </row>
    <row r="61" s="16">
      <c r="A61" s="24" t="inlineStr">
        <is>
          <t>UC-060</t>
        </is>
      </c>
      <c r="B61" s="25" t="inlineStr">
        <is>
          <t>Log and revisit my mistakes</t>
        </is>
      </c>
      <c r="C61" s="25" t="inlineStr">
        <is>
          <t>Student</t>
        </is>
      </c>
      <c r="D61" s="25" t="inlineStr">
        <is>
          <t>As a student, I want a mistake notebook so that I can revisit the questions I keep getting wrong.</t>
        </is>
      </c>
      <c r="E61" s="25" t="inlineStr">
        <is>
          <t>Signed in; the student has incorrect answers to log.</t>
        </is>
      </c>
      <c r="F61" s="25" t="inlineStr">
        <is>
          <t>1. Add an entry from a reviewed question
2. The entry is stored via the owned /learn/error-log CRUD routes
3. The student browses and clears entries as they master them</t>
        </is>
      </c>
      <c r="G61" s="25" t="inlineStr">
        <is>
          <t>A per-student error log exists and drives targeted revision.</t>
        </is>
      </c>
      <c r="H61" s="25" t="inlineStr">
        <is>
          <t>Medium</t>
        </is>
      </c>
      <c r="I61" s="25" t="inlineStr">
        <is>
          <t>Draft</t>
        </is>
      </c>
      <c r="J61" s="25" t="inlineStr">
        <is>
          <t>Study &amp; Learn Tools</t>
        </is>
      </c>
      <c r="K61" s="25" t="inlineStr">
        <is>
          <t>Backend only: learn.routes.ts /error-log (makeOwnedCrudRouter over db/learn/error_log). No frontend screen calls it yet.</t>
        </is>
      </c>
    </row>
    <row r="62" s="16">
      <c r="A62" s="24" t="inlineStr">
        <is>
          <t>UC-061</t>
        </is>
      </c>
      <c r="B62" s="25" t="inlineStr">
        <is>
          <t>Track topic mastery</t>
        </is>
      </c>
      <c r="C62" s="25" t="inlineStr">
        <is>
          <t>Student</t>
        </is>
      </c>
      <c r="D62" s="25" t="inlineStr">
        <is>
          <t>As a student, I want per-topic mastery scores so that I know which chapters are safe and which are not.</t>
        </is>
      </c>
      <c r="E62" s="25" t="inlineStr">
        <is>
          <t>Signed in; scored attempts exist.</t>
        </is>
      </c>
      <c r="F62" s="25" t="inlineStr">
        <is>
          <t>1. Mastery rows are written/updated per topic from attempt results
2. GET /learn/topic-mastery returns the student's mastery record
3. Weak topics feed study-plan and test suggestions</t>
        </is>
      </c>
      <c r="G62" s="25" t="inlineStr">
        <is>
          <t>Mastery per topic is persisted and drives recommendations.</t>
        </is>
      </c>
      <c r="H62" s="25" t="inlineStr">
        <is>
          <t>Medium</t>
        </is>
      </c>
      <c r="I62" s="25" t="inlineStr">
        <is>
          <t>Draft</t>
        </is>
      </c>
      <c r="J62" s="25" t="inlineStr">
        <is>
          <t>Study &amp; Learn Tools</t>
        </is>
      </c>
      <c r="K62" s="25" t="inlineStr">
        <is>
          <t>Backend only: learn.routes.ts /topic-mastery (db/learn/topic_mastery). Analytics currently derives weak areas from GET /analytics/dashboard instead.</t>
        </is>
      </c>
    </row>
    <row r="63" s="16">
      <c r="A63" s="24" t="inlineStr">
        <is>
          <t>UC-062</t>
        </is>
      </c>
      <c r="B63" s="25" t="inlineStr">
        <is>
          <t>View the admin overview</t>
        </is>
      </c>
      <c r="C63" s="25" t="inlineStr">
        <is>
          <t>Admin</t>
        </is>
      </c>
      <c r="D63" s="25" t="inlineStr">
        <is>
          <t>As an admin, I want platform-level counts so that I can see usage at a glance.</t>
        </is>
      </c>
      <c r="E63" s="25" t="inlineStr">
        <is>
          <t>Signed in with the admin:stats permission.</t>
        </is>
      </c>
      <c r="F63" s="25" t="inlineStr">
        <is>
          <t>1. Open the Admin Portal &gt; Overview
2. GET /admin/stats returns aggregate platform statistics
3. The overview cards render</t>
        </is>
      </c>
      <c r="G63" s="25" t="inlineStr">
        <is>
          <t>The admin sees current platform activity.</t>
        </is>
      </c>
      <c r="H63" s="25" t="inlineStr">
        <is>
          <t>Medium</t>
        </is>
      </c>
      <c r="I63" s="25" t="inlineStr">
        <is>
          <t>In Progress</t>
        </is>
      </c>
      <c r="J63" s="25" t="inlineStr">
        <is>
          <t>Admin &amp; User Management</t>
        </is>
      </c>
      <c r="K63" s="25" t="inlineStr">
        <is>
          <t>backend GET /admin/stats behind requirePermission('admin:stats'); pages/AdminView.tsx currently ships the shell + tabs (Overview/Students/Content/Analytics/Settings) — several panels are placeholders.</t>
        </is>
      </c>
    </row>
    <row r="64" s="16">
      <c r="A64" s="24" t="inlineStr">
        <is>
          <t>UC-063</t>
        </is>
      </c>
      <c r="B64" s="25" t="inlineStr">
        <is>
          <t>Invite a user</t>
        </is>
      </c>
      <c r="C64" s="25" t="inlineStr">
        <is>
          <t>Admin</t>
        </is>
      </c>
      <c r="D64" s="25" t="inlineStr">
        <is>
          <t>As an admin, I want to invite students and staff so that onboarding is controlled.</t>
        </is>
      </c>
      <c r="E64" s="25" t="inlineStr">
        <is>
          <t>Signed in with invitation permissions; SUPABASE_SERVICE_ROLE_KEY configured.</t>
        </is>
      </c>
      <c r="F64" s="25" t="inlineStr">
        <is>
          <t>1. POST /admin/invitations with the invitee's details
2. GET /admin/invitations lists pending invitations
3. POST /admin/invitations/:id/resend re-sends one
4. DELETE /admin/invitations/:id revokes it</t>
        </is>
      </c>
      <c r="G64" s="25" t="inlineStr">
        <is>
          <t>Invitation records exist and the invitee can complete registration.</t>
        </is>
      </c>
      <c r="H64" s="25" t="inlineStr">
        <is>
          <t>High</t>
        </is>
      </c>
      <c r="I64" s="25" t="inlineStr">
        <is>
          <t>Done</t>
        </is>
      </c>
      <c r="J64" s="25" t="inlineStr">
        <is>
          <t>Admin &amp; User Management</t>
        </is>
      </c>
      <c r="K64" s="25" t="inlineStr">
        <is>
          <t>backend/src/routes/admin.routes.ts invitation routes; admin operations use the service-role key.</t>
        </is>
      </c>
    </row>
    <row r="65" s="16">
      <c r="A65" s="24" t="inlineStr">
        <is>
          <t>UC-064</t>
        </is>
      </c>
      <c r="B65" s="25" t="inlineStr">
        <is>
          <t>Manage user accounts</t>
        </is>
      </c>
      <c r="C65" s="25" t="inlineStr">
        <is>
          <t>Admin</t>
        </is>
      </c>
      <c r="D65" s="25" t="inlineStr">
        <is>
          <t>As an admin, I want to search, inspect and correct user records so that support requests can be resolved.</t>
        </is>
      </c>
      <c r="E65" s="25" t="inlineStr">
        <is>
          <t>Signed in with the user-manage permission.</t>
        </is>
      </c>
      <c r="F65" s="25" t="inlineStr">
        <is>
          <t>1. GET /admin/users with query filters (validated by listUsersQuerySchema)
2. GET /admin/users/:id opens one record
3. PATCH /admin/users/:id applies admin-only corrections</t>
        </is>
      </c>
      <c r="G65" s="25" t="inlineStr">
        <is>
          <t>The user record reflects the admin's change and the action is auditable.</t>
        </is>
      </c>
      <c r="H65" s="25" t="inlineStr">
        <is>
          <t>High</t>
        </is>
      </c>
      <c r="I65" s="25" t="inlineStr">
        <is>
          <t>Done</t>
        </is>
      </c>
      <c r="J65" s="25" t="inlineStr">
        <is>
          <t>Admin &amp; User Management</t>
        </is>
      </c>
      <c r="K65" s="25" t="inlineStr">
        <is>
          <t>admin.routes.ts userManageGated routes; backend/src/services/adminUser.service.ts.</t>
        </is>
      </c>
    </row>
    <row r="66" s="16">
      <c r="A66" s="24" t="inlineStr">
        <is>
          <t>UC-065</t>
        </is>
      </c>
      <c r="B66" s="25" t="inlineStr">
        <is>
          <t>Change a user's account status</t>
        </is>
      </c>
      <c r="C66" s="25" t="inlineStr">
        <is>
          <t>Admin</t>
        </is>
      </c>
      <c r="D66" s="25" t="inlineStr">
        <is>
          <t>As an admin, I want to suspend, reactivate or delete an account so that policy and deletion requests can be enforced.</t>
        </is>
      </c>
      <c r="E66" s="25" t="inlineStr">
        <is>
          <t>Signed in with the user-manage permission; the target user exists.</t>
        </is>
      </c>
      <c r="F66" s="25" t="inlineStr">
        <is>
          <t>1. POST /admin/users/:id/status with the target status
2. A 'deleted' transition soft-deletes: the auth identity is banned and the record marked deleted
3. DELETE /me is reachable only by an admin-permissioned caller after a fresh OTP re-authentication</t>
        </is>
      </c>
      <c r="G66" s="25" t="inlineStr">
        <is>
          <t>The account transitions status and can no longer sign in where applicable.</t>
        </is>
      </c>
      <c r="H66" s="25" t="inlineStr">
        <is>
          <t>High</t>
        </is>
      </c>
      <c r="I66" s="25" t="inlineStr">
        <is>
          <t>Done</t>
        </is>
      </c>
      <c r="J66" s="25" t="inlineStr">
        <is>
          <t>Admin &amp; User Management</t>
        </is>
      </c>
      <c r="K66" s="25" t="inlineStr">
        <is>
          <t>admin.routes.ts transitionStatusSchema; BUG-27 removed self-service deletion — DELETE /me is now gated behind requireUserManagePermission() plus requireRecentOtpReauthentication().</t>
        </is>
      </c>
    </row>
    <row r="67" s="16">
      <c r="A67" s="24" t="inlineStr">
        <is>
          <t>UC-066</t>
        </is>
      </c>
      <c r="B67" s="25" t="inlineStr">
        <is>
          <t>Grant and revoke roles</t>
        </is>
      </c>
      <c r="C67" s="25" t="inlineStr">
        <is>
          <t>Admin</t>
        </is>
      </c>
      <c r="D67" s="25" t="inlineStr">
        <is>
          <t>As an admin, I want to control which roles a user holds so that permissions stay correct.</t>
        </is>
      </c>
      <c r="E67" s="25" t="inlineStr">
        <is>
          <t>Signed in with the user-manage permission; roles seeded (00_core_roles.ts).</t>
        </is>
      </c>
      <c r="F67" s="25" t="inlineStr">
        <is>
          <t>1. POST /admin/users/:id/roles grants a role
2. DELETE /admin/users/:id/roles/:roleCode revokes it
3. Permission checks pick the change up on the next request</t>
        </is>
      </c>
      <c r="G67" s="25" t="inlineStr">
        <is>
          <t>core.user_role reflects the grant/revoke and endpoint access changes accordingly.</t>
        </is>
      </c>
      <c r="H67" s="25" t="inlineStr">
        <is>
          <t>High</t>
        </is>
      </c>
      <c r="I67" s="25" t="inlineStr">
        <is>
          <t>Done</t>
        </is>
      </c>
      <c r="J67" s="25" t="inlineStr">
        <is>
          <t>Admin &amp; User Management</t>
        </is>
      </c>
      <c r="K67" s="25" t="inlineStr">
        <is>
          <t>admin.routes.ts role routes; enforced by backend/src/middleware/requirePermission.ts.</t>
        </is>
      </c>
    </row>
    <row r="68" s="16">
      <c r="A68" s="24" t="inlineStr">
        <is>
          <t>UC-067</t>
        </is>
      </c>
      <c r="B68" s="25" t="inlineStr">
        <is>
          <t>Force sign-out or force a password reset</t>
        </is>
      </c>
      <c r="C68" s="25" t="inlineStr">
        <is>
          <t>Admin</t>
        </is>
      </c>
      <c r="D68" s="25" t="inlineStr">
        <is>
          <t>As an admin, I want to end a user's sessions or force a password reset so that a compromised account can be secured.</t>
        </is>
      </c>
      <c r="E68" s="25" t="inlineStr">
        <is>
          <t>Signed in with the user-manage permission.</t>
        </is>
      </c>
      <c r="F68" s="25" t="inlineStr">
        <is>
          <t>1. POST /admin/users/:id/force-sign-out revokes the user's active sessions
2. POST /admin/users/:id/force-password-reset triggers the reset flow
3. The user must re-authenticate on their next request</t>
        </is>
      </c>
      <c r="G68" s="25" t="inlineStr">
        <is>
          <t>The target's sessions are invalidated and/or a password reset is pending.</t>
        </is>
      </c>
      <c r="H68" s="25" t="inlineStr">
        <is>
          <t>Medium</t>
        </is>
      </c>
      <c r="I68" s="25" t="inlineStr">
        <is>
          <t>Done</t>
        </is>
      </c>
      <c r="J68" s="25" t="inlineStr">
        <is>
          <t>Admin &amp; User Management</t>
        </is>
      </c>
      <c r="K68" s="25" t="inlineStr">
        <is>
          <t>admin.routes.ts force-sign-out / force-password-reset.</t>
        </is>
      </c>
    </row>
    <row r="69" s="16">
      <c r="A69" s="24" t="inlineStr">
        <is>
          <t>UC-068</t>
        </is>
      </c>
      <c r="B69" s="25" t="inlineStr">
        <is>
          <t>Submit a question for review</t>
        </is>
      </c>
      <c r="C69" s="25" t="inlineStr">
        <is>
          <t>Content author</t>
        </is>
      </c>
      <c r="D69" s="25" t="inlineStr">
        <is>
          <t>As a content author, I want to send a drafted question for review so that it is checked before students see it.</t>
        </is>
      </c>
      <c r="E69" s="25" t="inlineStr">
        <is>
          <t>Signed in with content:submit_review; the question is in draft.</t>
        </is>
      </c>
      <c r="F69" s="25" t="inlineStr">
        <is>
          <t>1. POST /content/questions/:id/submit-review
2. The question moves to in-review
3. The transition is written to the review history</t>
        </is>
      </c>
      <c r="G69" s="25" t="inlineStr">
        <is>
          <t>The question is queued for a reviewer and is not yet servable to students.</t>
        </is>
      </c>
      <c r="H69" s="25" t="inlineStr">
        <is>
          <t>High</t>
        </is>
      </c>
      <c r="I69" s="25" t="inlineStr">
        <is>
          <t>Done</t>
        </is>
      </c>
      <c r="J69" s="25" t="inlineStr">
        <is>
          <t>Content Lifecycle</t>
        </is>
      </c>
      <c r="K69" s="25" t="inlineStr">
        <is>
          <t>backend/src/routes/content.routes.ts; db/content/lifecycle.ts.</t>
        </is>
      </c>
    </row>
    <row r="70" s="16">
      <c r="A70" s="24" t="inlineStr">
        <is>
          <t>UC-069</t>
        </is>
      </c>
      <c r="B70" s="25" t="inlineStr">
        <is>
          <t>Approve or reject a question under review</t>
        </is>
      </c>
      <c r="C70" s="25" t="inlineStr">
        <is>
          <t>Content reviewer</t>
        </is>
      </c>
      <c r="D70" s="25" t="inlineStr">
        <is>
          <t>As a reviewer, I want to accept or send back a question so that only correct items reach the bank.</t>
        </is>
      </c>
      <c r="E70" s="25" t="inlineStr">
        <is>
          <t>Signed in with content:review_decide; the question is in review.</t>
        </is>
      </c>
      <c r="F70" s="25" t="inlineStr">
        <is>
          <t>1. POST /content/questions/:id/review-decision with the decision and comments
2. The question moves to approved or back to draft
3. The decision is recorded with the reviewer's identity</t>
        </is>
      </c>
      <c r="G70" s="25" t="inlineStr">
        <is>
          <t>The question's lifecycle status reflects the decision and the trail is auditable.</t>
        </is>
      </c>
      <c r="H70" s="25" t="inlineStr">
        <is>
          <t>High</t>
        </is>
      </c>
      <c r="I70" s="25" t="inlineStr">
        <is>
          <t>Done</t>
        </is>
      </c>
      <c r="J70" s="25" t="inlineStr">
        <is>
          <t>Content Lifecycle</t>
        </is>
      </c>
      <c r="K70" s="25" t="inlineStr">
        <is>
          <t>content.routes.ts review-decision behind requirePermission('content:review_decide').</t>
        </is>
      </c>
    </row>
    <row r="71" s="16">
      <c r="A71" s="24" t="inlineStr">
        <is>
          <t>UC-070</t>
        </is>
      </c>
      <c r="B71" s="25" t="inlineStr">
        <is>
          <t>Publish or retire a question</t>
        </is>
      </c>
      <c r="C71" s="25" t="inlineStr">
        <is>
          <t>Content manager</t>
        </is>
      </c>
      <c r="D71" s="25" t="inlineStr">
        <is>
          <t>As a content manager, I want to publish approved questions and retire bad ones so that the live bank stays clean.</t>
        </is>
      </c>
      <c r="E71" s="25" t="inlineStr">
        <is>
          <t>Signed in with content:publish.</t>
        </is>
      </c>
      <c r="F71" s="25" t="inlineStr">
        <is>
          <t>1. POST /content/questions/:id/publish makes the question drawable
2. POST /content/questions/:id/retire removes it from circulation
3. Only lifecycle_status='published' questions count toward pool availability</t>
        </is>
      </c>
      <c r="G71" s="25" t="inlineStr">
        <is>
          <t>The live question pool changes immediately for all future test assembly.</t>
        </is>
      </c>
      <c r="H71" s="25" t="inlineStr">
        <is>
          <t>Critical</t>
        </is>
      </c>
      <c r="I71" s="25" t="inlineStr">
        <is>
          <t>Done</t>
        </is>
      </c>
      <c r="J71" s="25" t="inlineStr">
        <is>
          <t>Content Lifecycle</t>
        </is>
      </c>
      <c r="K71" s="25" t="inlineStr">
        <is>
          <t>content.routes.ts publish/retire; docs/TEST-CASES.md POOL-14 confirms draft/retired never count as available.</t>
        </is>
      </c>
    </row>
    <row r="72" s="16">
      <c r="A72" s="24" t="inlineStr">
        <is>
          <t>UC-071</t>
        </is>
      </c>
      <c r="B72" s="25" t="inlineStr">
        <is>
          <t>Inspect a question's review history</t>
        </is>
      </c>
      <c r="C72" s="25" t="inlineStr">
        <is>
          <t>Content reviewer / Admin</t>
        </is>
      </c>
      <c r="D72" s="25" t="inlineStr">
        <is>
          <t>As a reviewer, I want the full history of a question so that I can see who changed what and when.</t>
        </is>
      </c>
      <c r="E72" s="25" t="inlineStr">
        <is>
          <t>Signed in; the question exists.</t>
        </is>
      </c>
      <c r="F72" s="25" t="inlineStr">
        <is>
          <t>1. GET /content/questions/:id/review-history
2. Every lifecycle transition with actor and timestamp is returned</t>
        </is>
      </c>
      <c r="G72" s="25" t="inlineStr">
        <is>
          <t>The reviewer has a complete audit trail for the item.</t>
        </is>
      </c>
      <c r="H72" s="25" t="inlineStr">
        <is>
          <t>Medium</t>
        </is>
      </c>
      <c r="I72" s="25" t="inlineStr">
        <is>
          <t>Done</t>
        </is>
      </c>
      <c r="J72" s="25" t="inlineStr">
        <is>
          <t>Content Lifecycle</t>
        </is>
      </c>
      <c r="K72" s="25" t="inlineStr">
        <is>
          <t>content.routes.ts review-history.</t>
        </is>
      </c>
    </row>
    <row r="73" s="16">
      <c r="A73" s="24" t="inlineStr">
        <is>
          <t>UC-072</t>
        </is>
      </c>
      <c r="B73" s="25" t="inlineStr">
        <is>
          <t>Monitor content health</t>
        </is>
      </c>
      <c r="C73" s="25" t="inlineStr">
        <is>
          <t>Content manager</t>
        </is>
      </c>
      <c r="D73" s="25" t="inlineStr">
        <is>
          <t>As a content manager, I want a health report of the bank so that I can spot gaps before students hit them.</t>
        </is>
      </c>
      <c r="E73" s="25" t="inlineStr">
        <is>
          <t>Signed in with content:publish.</t>
        </is>
      </c>
      <c r="F73" s="25" t="inlineStr">
        <is>
          <t>1. GET /content/content-health
2. Counts by lifecycle status, coverage per node and problem items are returned
3. Gaps are prioritised for authoring</t>
        </is>
      </c>
      <c r="G73" s="25" t="inlineStr">
        <is>
          <t>The manager knows where the bank is thin or broken.</t>
        </is>
      </c>
      <c r="H73" s="25" t="inlineStr">
        <is>
          <t>Medium</t>
        </is>
      </c>
      <c r="I73" s="25" t="inlineStr">
        <is>
          <t>Done</t>
        </is>
      </c>
      <c r="J73" s="25" t="inlineStr">
        <is>
          <t>Content Lifecycle</t>
        </is>
      </c>
      <c r="K73" s="25" t="inlineStr">
        <is>
          <t>content.routes.ts content-health; see docs/POOL_CENSUS.md for the pool coverage picture.</t>
        </is>
      </c>
    </row>
    <row r="74" s="16">
      <c r="A74" s="24" t="inlineStr">
        <is>
          <t>UC-073</t>
        </is>
      </c>
      <c r="B74" s="25" t="inlineStr">
        <is>
          <t>Browse and filter the question bank</t>
        </is>
      </c>
      <c r="C74" s="25" t="inlineStr">
        <is>
          <t>Content manager</t>
        </is>
      </c>
      <c r="D74" s="25" t="inlineStr">
        <is>
          <t>As a content manager, I want to search the question bank so that I can find and work on specific items.</t>
        </is>
      </c>
      <c r="E74" s="25" t="inlineStr">
        <is>
          <t>Signed in; query params match listQuerySchema.</t>
        </is>
      </c>
      <c r="F74" s="25" t="inlineStr">
        <is>
          <t>1. GET /content/questions with filters (scope, status, format, paging)
2. Results are returned page by page</t>
        </is>
      </c>
      <c r="G74" s="25" t="inlineStr">
        <is>
          <t>The manager can locate any question in the bank.</t>
        </is>
      </c>
      <c r="H74" s="25" t="inlineStr">
        <is>
          <t>Medium</t>
        </is>
      </c>
      <c r="I74" s="25" t="inlineStr">
        <is>
          <t>Done</t>
        </is>
      </c>
      <c r="J74" s="25" t="inlineStr">
        <is>
          <t>Content Lifecycle</t>
        </is>
      </c>
      <c r="K74" s="25" t="inlineStr">
        <is>
          <t>content.routes.ts GET /questions with Zod-validated query.</t>
        </is>
      </c>
    </row>
    <row r="75" s="16">
      <c r="A75" s="24" t="inlineStr">
        <is>
          <t>UC-074</t>
        </is>
      </c>
      <c r="B75" s="25" t="inlineStr">
        <is>
          <t>Import a question batch</t>
        </is>
      </c>
      <c r="C75" s="25" t="inlineStr">
        <is>
          <t>Content ops</t>
        </is>
      </c>
      <c r="D75" s="25" t="inlineStr">
        <is>
          <t>As content ops, I want to import authored question batches with their images so that the bank grows reproducibly.</t>
        </is>
      </c>
      <c r="E75" s="25" t="inlineStr">
        <is>
          <t>A batch JSON matching schemas/ plus its image files; DATABASE_URL and OBJECT_STORAGE_BUCKET set.</t>
        </is>
      </c>
      <c r="F75" s="25" t="inlineStr">
        <is>
          <t>1. Drop the batch under db/content/content-batches/&lt;subject&gt;/
2. Validate the JSON against the Zod content-batch schema
3. Run the import script to insert questions, options, assets and node mappings
4. Review the dry-run report before committing</t>
        </is>
      </c>
      <c r="G75" s="25" t="inlineStr">
        <is>
          <t>Questions land in content.question mapped to catalog nodes, with assets uploaded.</t>
        </is>
      </c>
      <c r="H75" s="25" t="inlineStr">
        <is>
          <t>High</t>
        </is>
      </c>
      <c r="I75" s="25" t="inlineStr">
        <is>
          <t>Done</t>
        </is>
      </c>
      <c r="J75" s="25" t="inlineStr">
        <is>
          <t>Content Pipeline &amp; Data Ops</t>
        </is>
      </c>
      <c r="K75" s="25" t="inlineStr">
        <is>
          <t>schemas/ + db/scripts/; dry-run reports in docs/CL2_DryRun_Report_*.md, triage in docs/CL2_Error_Triage_Batch1-4.md. Bank currently holds ~1,400 rows (1,380 imported + 20 legacy).</t>
        </is>
      </c>
    </row>
    <row r="76" s="16">
      <c r="A76" s="24" t="inlineStr">
        <is>
          <t>UC-075</t>
        </is>
      </c>
      <c r="B76" s="25" t="inlineStr">
        <is>
          <t>Detect duplicate questions before they reach students</t>
        </is>
      </c>
      <c r="C76" s="25" t="inlineStr">
        <is>
          <t>Content ops</t>
        </is>
      </c>
      <c r="D76" s="25" t="inlineStr">
        <is>
          <t>As content ops, I want near-duplicate questions flagged so that a student is not shown the same item twice under different ids.</t>
        </is>
      </c>
      <c r="E76" s="25" t="inlineStr">
        <is>
          <t>A populated question bank.</t>
        </is>
      </c>
      <c r="F76" s="25" t="inlineStr">
        <is>
          <t>1. Normalise stems with the fingerprint normaliser
2. Compare fingerprints against the configured thresholds
3. Review flagged pairs and quarantine or retire duplicates</t>
        </is>
      </c>
      <c r="G76" s="25" t="inlineStr">
        <is>
          <t>Duplicate items are identified and removed from the live pool.</t>
        </is>
      </c>
      <c r="H76" s="25" t="inlineStr">
        <is>
          <t>High</t>
        </is>
      </c>
      <c r="I76" s="25" t="inlineStr">
        <is>
          <t>In Progress</t>
        </is>
      </c>
      <c r="J76" s="25" t="inlineStr">
        <is>
          <t>Content Pipeline &amp; Data Ops</t>
        </is>
      </c>
      <c r="K76" s="25" t="inlineStr">
        <is>
          <t>db/content/fingerprint-normalizer.test.ts, db/content/_quarantine/; docs/QUESTION_DEDUP_{AUDIT,THRESHOLDS,TRACKER}.md. TEST-CASES REP-24 notes anti-repeat is keyed on question_id, so stem-level duplicates still need this pass.</t>
        </is>
      </c>
    </row>
    <row r="77" s="16">
      <c r="A77" s="24" t="inlineStr">
        <is>
          <t>UC-076</t>
        </is>
      </c>
      <c r="B77" s="25" t="inlineStr">
        <is>
          <t>Serve question images from object storage</t>
        </is>
      </c>
      <c r="C77" s="25" t="inlineStr">
        <is>
          <t>Student / System</t>
        </is>
      </c>
      <c r="D77" s="25" t="inlineStr">
        <is>
          <t>As a student, I want diagrams to load reliably so that image questions are answerable.</t>
        </is>
      </c>
      <c r="E77" s="25" t="inlineStr">
        <is>
          <t>OBJECT_STORAGE_BUCKET is set; assets uploaded to Supabase Storage.</t>
        </is>
      </c>
      <c r="F77" s="25" t="inlineStr">
        <is>
          <t>1. The envelope carries asset references for a question
2. asset-resolver.ts resolves them to public Storage URLs
3. QuestionImage reserves layout space and frames the image so the paper does not reflow</t>
        </is>
      </c>
      <c r="G77" s="25" t="inlineStr">
        <is>
          <t>Images render in the test screen and in review without layout shift.</t>
        </is>
      </c>
      <c r="H77" s="25" t="inlineStr">
        <is>
          <t>High</t>
        </is>
      </c>
      <c r="I77" s="25" t="inlineStr">
        <is>
          <t>Done</t>
        </is>
      </c>
      <c r="J77" s="25" t="inlineStr">
        <is>
          <t>Content Pipeline &amp; Data Ops</t>
        </is>
      </c>
      <c r="K77" s="25" t="inlineStr">
        <is>
          <t>db/content/asset-resolver.ts; components/ui/QuestionImage.tsx. DEFECT-BACKLOG DB-04: tall-image and long-text layout combinations are not yet verified at all three widths.</t>
        </is>
      </c>
    </row>
    <row r="78" s="16">
      <c r="A78" s="24" t="inlineStr">
        <is>
          <t>UC-077</t>
        </is>
      </c>
      <c r="B78" s="25" t="inlineStr">
        <is>
          <t>Apply and verify a database migration</t>
        </is>
      </c>
      <c r="C78" s="25" t="inlineStr">
        <is>
          <t>Developer / DevOps</t>
        </is>
      </c>
      <c r="D78" s="25" t="inlineStr">
        <is>
          <t>As a developer, I want migrations applied with a matching verification script so that schema changes are provable, not assumed.</t>
        </is>
      </c>
      <c r="E78" s="25" t="inlineStr">
        <is>
          <t>DATABASE_URL points at the target database.</t>
        </is>
      </c>
      <c r="F78" s="25" t="inlineStr">
        <is>
          <t>1. Add db/migrations/&lt;name&gt;.sql and a matching db/verify/&lt;name&gt;.sql
2. Run node db/scripts/run-migration.mjs &lt;name&gt;
3. Run the verify script to assert the resulting objects exist
4. Record the outcome in docs/MIGRATION_STATE.md</t>
        </is>
      </c>
      <c r="G78" s="25" t="inlineStr">
        <is>
          <t>The domain schema (catalog/content/assess/core/learn) is advanced and verified.</t>
        </is>
      </c>
      <c r="H78" s="25" t="inlineStr">
        <is>
          <t>Critical</t>
        </is>
      </c>
      <c r="I78" s="25" t="inlineStr">
        <is>
          <t>Done</t>
        </is>
      </c>
      <c r="J78" s="25" t="inlineStr">
        <is>
          <t>Platform &amp; Operations</t>
        </is>
      </c>
      <c r="K78" s="25" t="inlineStr">
        <is>
          <t>db/migrations/ + db/verify/ (000-017 applied). Prisma's own migration track is deliberately NOT used for this schema — see prisma/schema.prisma header.</t>
        </is>
      </c>
    </row>
    <row r="79" s="16">
      <c r="A79" s="24" t="inlineStr">
        <is>
          <t>UC-078</t>
        </is>
      </c>
      <c r="B79" s="25" t="inlineStr">
        <is>
          <t>Seed a fresh environment</t>
        </is>
      </c>
      <c r="C79" s="25" t="inlineStr">
        <is>
          <t>Developer / DevOps</t>
        </is>
      </c>
      <c r="D79" s="25" t="inlineStr">
        <is>
          <t>As a developer, I want ordered seed scripts so that a new environment reaches a usable state.</t>
        </is>
      </c>
      <c r="E79" s="25" t="inlineStr">
        <is>
          <t>Migrations applied.</t>
        </is>
      </c>
      <c r="F79" s="25" t="inlineStr">
        <is>
          <t>1. Run seed/00_core_roles.ts
2. Run seed/01_catalog.ts
3. Run seed/02_core_lifecycle_fixture.ts
4. Run seed/03_assess_fixture.ts (then 05_unit_materials.ts for course materials)
5. Order matters — each assumes the previous ran</t>
        </is>
      </c>
      <c r="G79" s="25" t="inlineStr">
        <is>
          <t>Roles, catalog, lifecycle fixtures and assessment fixtures exist so the app can serve traffic.</t>
        </is>
      </c>
      <c r="H79" s="25" t="inlineStr">
        <is>
          <t>High</t>
        </is>
      </c>
      <c r="I79" s="25" t="inlineStr">
        <is>
          <t>Done</t>
        </is>
      </c>
      <c r="J79" s="25" t="inlineStr">
        <is>
          <t>Platform &amp; Operations</t>
        </is>
      </c>
      <c r="K79" s="25" t="inlineStr">
        <is>
          <t>db/scripts/seed/*; sequence documented in README.md and docs/CORE_LAYER_OPERATIONS.md.</t>
        </is>
      </c>
    </row>
    <row r="80" s="16">
      <c r="A80" s="24" t="inlineStr">
        <is>
          <t>UC-079</t>
        </is>
      </c>
      <c r="B80" s="25" t="inlineStr">
        <is>
          <t>Monitor service health</t>
        </is>
      </c>
      <c r="C80" s="25" t="inlineStr">
        <is>
          <t>DevOps</t>
        </is>
      </c>
      <c r="D80" s="25" t="inlineStr">
        <is>
          <t>As an operator, I want a health endpoint so that orchestrators know whether the service is actually serving.</t>
        </is>
      </c>
      <c r="E80" s="25" t="inlineStr">
        <is>
          <t>The API process is running.</t>
        </is>
      </c>
      <c r="F80" s="25" t="inlineStr">
        <is>
          <t>1. GET /health
2. The handler reports process and dependency health
3. The container healthcheck / load balancer polls it</t>
        </is>
      </c>
      <c r="G80" s="25" t="inlineStr">
        <is>
          <t>Unhealthy instances are restarted or taken out of rotation.</t>
        </is>
      </c>
      <c r="H80" s="25" t="inlineStr">
        <is>
          <t>Medium</t>
        </is>
      </c>
      <c r="I80" s="25" t="inlineStr">
        <is>
          <t>Done</t>
        </is>
      </c>
      <c r="J80" s="25" t="inlineStr">
        <is>
          <t>Platform &amp; Operations</t>
        </is>
      </c>
      <c r="K80" s="25" t="inlineStr">
        <is>
          <t>backend/src/routes/api.ts GET /health; Dockerfile healthcheck sketched in docs/FRONTEND.md sec 4.2.</t>
        </is>
      </c>
    </row>
    <row r="81" s="16">
      <c r="A81" s="24" t="inlineStr">
        <is>
          <t>UC-080</t>
        </is>
      </c>
      <c r="B81" s="25" t="inlineStr">
        <is>
          <t>Enforce permissions on protected endpoints</t>
        </is>
      </c>
      <c r="C81" s="25" t="inlineStr">
        <is>
          <t>System</t>
        </is>
      </c>
      <c r="D81" s="25" t="inlineStr">
        <is>
          <t>As the platform, I want every privileged route gated by an explicit permission so that role changes actually restrict access.</t>
        </is>
      </c>
      <c r="E81" s="25" t="inlineStr">
        <is>
          <t>Roles and permissions seeded; the caller presents a Supabase bearer token.</t>
        </is>
      </c>
      <c r="F81" s="25" t="inlineStr">
        <is>
          <t>1. requireAuth verifies the token by calling Supabase auth.getUser (no self-issued JWTs)
2. requirePermission('&lt;code&gt;') checks the caller's granted permissions
3. Unauthorised callers get 401/403 with no data leakage</t>
        </is>
      </c>
      <c r="G81" s="25" t="inlineStr">
        <is>
          <t>Privileged routes are reachable only by callers holding the permission.</t>
        </is>
      </c>
      <c r="H81" s="25" t="inlineStr">
        <is>
          <t>Critical</t>
        </is>
      </c>
      <c r="I81" s="25" t="inlineStr">
        <is>
          <t>Done</t>
        </is>
      </c>
      <c r="J81" s="25" t="inlineStr">
        <is>
          <t>Platform &amp; Operations</t>
        </is>
      </c>
      <c r="K81" s="25" t="inlineStr">
        <is>
          <t>backend/src/middleware/{requireAuth,requirePermission}.ts. There is no JWT_SECRET anywhere in this app by design.</t>
        </is>
      </c>
    </row>
    <row r="82" s="16">
      <c r="A82" s="24" t="inlineStr">
        <is>
          <t>UC-081</t>
        </is>
      </c>
      <c r="B82" s="25" t="inlineStr">
        <is>
          <t>Enforce record ownership on user-scoped data</t>
        </is>
      </c>
      <c r="C82" s="25" t="inlineStr">
        <is>
          <t>System</t>
        </is>
      </c>
      <c r="D82" s="25" t="inlineStr">
        <is>
          <t>As the platform, I want every attempt, plan and deck read/write checked against its owner so that one student can never touch another's data.</t>
        </is>
      </c>
      <c r="E82" s="25" t="inlineStr">
        <is>
          <t>The caller is authenticated.</t>
        </is>
      </c>
      <c r="F82" s="25" t="inlineStr">
        <is>
          <t>1. requireAttemptOwnership() resolves the attempt's owner once per request
2. requirePlanOwnership() / requireDeckOwnership() do the same for plans and flashcard decks
3. makeOwnedCrudRouter scopes generic learn CRUD by user_id
4. A mismatch returns 403/404 without exposing the record</t>
        </is>
      </c>
      <c r="G82" s="25" t="inlineStr">
        <is>
          <t>Cross-user access is impossible through any owned route.</t>
        </is>
      </c>
      <c r="H82" s="25" t="inlineStr">
        <is>
          <t>Critical</t>
        </is>
      </c>
      <c r="I82" s="25" t="inlineStr">
        <is>
          <t>Done</t>
        </is>
      </c>
      <c r="J82" s="25" t="inlineStr">
        <is>
          <t>Platform &amp; Operations</t>
        </is>
      </c>
      <c r="K82" s="25" t="inlineStr">
        <is>
          <t>backend/src/middleware/ownership.ts; backend/src/lib/dbCrudRouter.ts. audit_log is deliberately not exposed through CRUD (append-only).</t>
        </is>
      </c>
    </row>
  </sheetData>
  <autoFilter ref="A1:K82"/>
  <dataValidations count="2">
    <dataValidation sqref="H2:H82" showDropDown="0" showInputMessage="0" showErrorMessage="0" allowBlank="1" type="list">
      <formula1>'Lookup Lists'!$A$2:$A$5</formula1>
    </dataValidation>
    <dataValidation sqref="I2:I82" showDropDown="0" showInputMessage="0" showErrorMessage="0" allowBlank="1" type="list">
      <formula1>'Lookup Lists'!$B$2:$B$5</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M121"/>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1" customWidth="1" style="15" min="1" max="1"/>
    <col width="12" customWidth="1" style="15" min="2" max="2"/>
    <col width="34" customWidth="1" style="15" min="3" max="3"/>
    <col width="14" customWidth="1" style="15" min="4" max="4"/>
    <col width="52" customWidth="1" style="15" min="5" max="6"/>
    <col width="52" customWidth="1" style="16" min="6" max="6"/>
    <col width="11" customWidth="1" style="15" min="7" max="7"/>
    <col width="13" customWidth="1" style="15" min="8" max="8"/>
    <col width="9" customWidth="1" style="15" min="9" max="9"/>
    <col width="10" customWidth="1" style="15" min="10" max="10"/>
    <col width="12" customWidth="1" style="15" min="11" max="13"/>
    <col width="12" customWidth="1" style="16" min="12" max="12"/>
    <col width="12" customWidth="1" style="16" min="13" max="13"/>
  </cols>
  <sheetData>
    <row r="1" ht="26.85" customHeight="1" s="16">
      <c r="A1" s="23" t="inlineStr">
        <is>
          <t>Task ID</t>
        </is>
      </c>
      <c r="B1" s="23" t="inlineStr">
        <is>
          <t>Use Case ID</t>
        </is>
      </c>
      <c r="C1" s="23" t="inlineStr">
        <is>
          <t>Task Title</t>
        </is>
      </c>
      <c r="D1" s="23" t="inlineStr">
        <is>
          <t>Task Type</t>
        </is>
      </c>
      <c r="E1" s="23" t="inlineStr">
        <is>
          <t>Description</t>
        </is>
      </c>
      <c r="F1" s="23" t="inlineStr">
        <is>
          <t>Acceptance Criteria</t>
        </is>
      </c>
      <c r="G1" s="23" t="inlineStr">
        <is>
          <t>Sprint</t>
        </is>
      </c>
      <c r="H1" s="23" t="inlineStr">
        <is>
          <t>Assignee</t>
        </is>
      </c>
      <c r="I1" s="23" t="inlineStr">
        <is>
          <t>Story Points</t>
        </is>
      </c>
      <c r="J1" s="23" t="inlineStr">
        <is>
          <t>Priority</t>
        </is>
      </c>
      <c r="K1" s="23" t="inlineStr">
        <is>
          <t>Status</t>
        </is>
      </c>
      <c r="L1" s="23" t="inlineStr">
        <is>
          <t>Start Date</t>
        </is>
      </c>
      <c r="M1" s="23" t="inlineStr">
        <is>
          <t>Due Date</t>
        </is>
      </c>
    </row>
    <row r="2" ht="35.05" customHeight="1" s="16">
      <c r="A2" s="26" t="inlineStr">
        <is>
          <t>TASK-001</t>
        </is>
      </c>
      <c r="B2" s="26" t="inlineStr">
        <is>
          <t>UC-034</t>
        </is>
      </c>
      <c r="C2" s="26" t="inlineStr">
        <is>
          <t>Build test timer &amp; auto-submit component</t>
        </is>
      </c>
      <c r="D2" s="26" t="inlineStr">
        <is>
          <t>Frontend</t>
        </is>
      </c>
      <c r="E2" s="26" t="inlineStr">
        <is>
          <t>Implement countdown timer UI that auto-submits the test when time expires.</t>
        </is>
      </c>
      <c r="F2" s="26" t="inlineStr">
        <is>
          <t>Given a running test, when the timer hits 0, then the test auto-submits and shows the result screen.</t>
        </is>
      </c>
      <c r="G2" s="26" t="inlineStr">
        <is>
          <t>Sprint 1</t>
        </is>
      </c>
      <c r="H2" s="26" t="inlineStr">
        <is>
          <t>Deepan B</t>
        </is>
      </c>
      <c r="I2" s="26" t="n">
        <v>5</v>
      </c>
      <c r="J2" s="26" t="inlineStr">
        <is>
          <t>High</t>
        </is>
      </c>
      <c r="K2" s="26" t="inlineStr">
        <is>
          <t>In Progress</t>
        </is>
      </c>
      <c r="L2" s="26" t="inlineStr">
        <is>
          <t>2026-09-08</t>
        </is>
      </c>
      <c r="M2" s="26" t="inlineStr">
        <is>
          <t>2026-09-12</t>
        </is>
      </c>
    </row>
    <row r="3" s="16">
      <c r="A3" s="24">
        <f>"TASK-"&amp;TEXT(2,"000")</f>
        <v/>
      </c>
      <c r="B3" s="31" t="inlineStr">
        <is>
          <t>UC-001</t>
        </is>
      </c>
      <c r="C3" s="31" t="inlineStr">
        <is>
          <t>Email + password registration</t>
        </is>
      </c>
      <c r="D3" s="31" t="inlineStr">
        <is>
          <t>Frontend</t>
        </is>
      </c>
      <c r="E3" s="31" t="inlineStr">
        <is>
          <t>Register form on LandingView (authMode 'register') calling supabaseAuth.signUpWithPassword, with client-side Supabase auth only — the backend never issues tokens.</t>
        </is>
      </c>
      <c r="F3" s="31" t="inlineStr">
        <is>
          <t>Given a new email, when the form is submitted, then a Supabase identity and a core.app_user row exist and the OTP screen is shown.</t>
        </is>
      </c>
      <c r="G3" s="31" t="inlineStr">
        <is>
          <t>Sprint 1</t>
        </is>
      </c>
      <c r="H3" s="31" t="inlineStr">
        <is>
          <t>FE Dev</t>
        </is>
      </c>
      <c r="I3" s="32" t="n">
        <v>5</v>
      </c>
      <c r="J3" s="31" t="inlineStr">
        <is>
          <t>Critical</t>
        </is>
      </c>
      <c r="K3" s="31" t="inlineStr">
        <is>
          <t>Done</t>
        </is>
      </c>
      <c r="L3" s="33" t="n">
        <v>46273</v>
      </c>
      <c r="M3" s="33" t="n">
        <v>46277</v>
      </c>
    </row>
    <row r="4" s="16">
      <c r="A4" s="24">
        <f>"TASK-"&amp;TEXT(3,"000")</f>
        <v/>
      </c>
      <c r="B4" s="31" t="inlineStr">
        <is>
          <t>UC-002</t>
        </is>
      </c>
      <c r="C4" s="31" t="inlineStr">
        <is>
          <t>Sign-up OTP confirmation + resend guard</t>
        </is>
      </c>
      <c r="D4" s="31" t="inlineStr">
        <is>
          <t>Frontend</t>
        </is>
      </c>
      <c r="E4" s="31" t="inlineStr">
        <is>
          <t>6-digit OTP screen wired to verifySignupOtp / resendSignupConfirmation, with resend throttled by services/emailSendGuard.ts.</t>
        </is>
      </c>
      <c r="F4" s="31" t="inlineStr">
        <is>
          <t>Given a valid code, when it is entered, then the email is confirmed and a session starts; resend is blocked inside the guard window.</t>
        </is>
      </c>
      <c r="G4" s="31" t="inlineStr">
        <is>
          <t>Sprint 1</t>
        </is>
      </c>
      <c r="H4" s="31" t="inlineStr">
        <is>
          <t>FE Dev</t>
        </is>
      </c>
      <c r="I4" s="32" t="n">
        <v>3</v>
      </c>
      <c r="J4" s="31" t="inlineStr">
        <is>
          <t>Critical</t>
        </is>
      </c>
      <c r="K4" s="31" t="inlineStr">
        <is>
          <t>Done</t>
        </is>
      </c>
      <c r="L4" s="33" t="n">
        <v>46273</v>
      </c>
      <c r="M4" s="33" t="n">
        <v>46277</v>
      </c>
    </row>
    <row r="5" s="16">
      <c r="A5" s="24">
        <f>"TASK-"&amp;TEXT(4,"000")</f>
        <v/>
      </c>
      <c r="B5" s="31" t="inlineStr">
        <is>
          <t>UC-003</t>
        </is>
      </c>
      <c r="C5" s="31" t="inlineStr">
        <is>
          <t>Password sign-in with single-call profile load</t>
        </is>
      </c>
      <c r="D5" s="31" t="inlineStr">
        <is>
          <t>Frontend</t>
        </is>
      </c>
      <c r="E5" s="31" t="inlineStr">
        <is>
          <t>signInWithPassword followed by one GET /me call, replacing the old multi-round-trip PostgREST reads.</t>
        </is>
      </c>
      <c r="F5" s="31" t="inlineStr">
        <is>
          <t>Given a confirmed account, when the student signs in, then the profile snapshot loads in a single request.</t>
        </is>
      </c>
      <c r="G5" s="31" t="inlineStr">
        <is>
          <t>Sprint 1</t>
        </is>
      </c>
      <c r="H5" s="31" t="inlineStr">
        <is>
          <t>FE Dev</t>
        </is>
      </c>
      <c r="I5" s="32" t="n">
        <v>3</v>
      </c>
      <c r="J5" s="31" t="inlineStr">
        <is>
          <t>Critical</t>
        </is>
      </c>
      <c r="K5" s="31" t="inlineStr">
        <is>
          <t>Done</t>
        </is>
      </c>
      <c r="L5" s="33" t="n">
        <v>46273</v>
      </c>
      <c r="M5" s="33" t="n">
        <v>46277</v>
      </c>
    </row>
    <row r="6" s="16">
      <c r="A6" s="24">
        <f>"TASK-"&amp;TEXT(5,"000")</f>
        <v/>
      </c>
      <c r="B6" s="31" t="inlineStr">
        <is>
          <t>UC-004</t>
        </is>
      </c>
      <c r="C6" s="31" t="inlineStr">
        <is>
          <t>Passwordless email OTP sign-in</t>
        </is>
      </c>
      <c r="D6" s="31" t="inlineStr">
        <is>
          <t>Frontend</t>
        </is>
      </c>
      <c r="E6" s="31" t="inlineStr">
        <is>
          <t>sendEmailOtp / verifyEmailOtp with otpFlow distinguishing register from login (shouldCreateUser=false on login).</t>
        </is>
      </c>
      <c r="F6" s="31" t="inlineStr">
        <is>
          <t>Given an existing email, when the emailed code is entered, then the student is signed in without a password.</t>
        </is>
      </c>
      <c r="G6" s="31" t="inlineStr">
        <is>
          <t>Sprint 1</t>
        </is>
      </c>
      <c r="H6" s="31" t="inlineStr">
        <is>
          <t>FE Dev</t>
        </is>
      </c>
      <c r="I6" s="32" t="n">
        <v>3</v>
      </c>
      <c r="J6" s="31" t="inlineStr">
        <is>
          <t>High</t>
        </is>
      </c>
      <c r="K6" s="31" t="inlineStr">
        <is>
          <t>Done</t>
        </is>
      </c>
      <c r="L6" s="33" t="n">
        <v>46273</v>
      </c>
      <c r="M6" s="33" t="n">
        <v>46277</v>
      </c>
    </row>
    <row r="7" s="16">
      <c r="A7" s="24">
        <f>"TASK-"&amp;TEXT(6,"000")</f>
        <v/>
      </c>
      <c r="B7" s="31" t="inlineStr">
        <is>
          <t>UC-005</t>
        </is>
      </c>
      <c r="C7" s="31" t="inlineStr">
        <is>
          <t>Mobile OTP sign-in (E.164 normalisation)</t>
        </is>
      </c>
      <c r="D7" s="31" t="inlineStr">
        <is>
          <t>Frontend</t>
        </is>
      </c>
      <c r="E7" s="31" t="inlineStr">
        <is>
          <t>sendPhoneOtp / verifyPhoneOtp with mobile numbers normalised to E.164 before the request.</t>
        </is>
      </c>
      <c r="F7" s="31" t="inlineStr">
        <is>
          <t>Given a valid Indian mobile number, when the SMS code is entered, then the student is signed in via the phone identity.</t>
        </is>
      </c>
      <c r="G7" s="31" t="inlineStr">
        <is>
          <t>Sprint 1</t>
        </is>
      </c>
      <c r="H7" s="31" t="inlineStr">
        <is>
          <t>FE Dev</t>
        </is>
      </c>
      <c r="I7" s="32" t="n">
        <v>5</v>
      </c>
      <c r="J7" s="31" t="inlineStr">
        <is>
          <t>Medium</t>
        </is>
      </c>
      <c r="K7" s="31" t="inlineStr">
        <is>
          <t>In Progress</t>
        </is>
      </c>
      <c r="L7" s="33" t="n">
        <v>46273</v>
      </c>
      <c r="M7" s="33" t="n">
        <v>46284</v>
      </c>
    </row>
    <row r="8" s="16">
      <c r="A8" s="24">
        <f>"TASK-"&amp;TEXT(7,"000")</f>
        <v/>
      </c>
      <c r="B8" s="31" t="inlineStr">
        <is>
          <t>UC-005</t>
        </is>
      </c>
      <c r="C8" s="31" t="inlineStr">
        <is>
          <t>SMS cost guard before enabling phone OTP for real traffic</t>
        </is>
      </c>
      <c r="D8" s="31" t="inlineStr">
        <is>
          <t>Backend</t>
        </is>
      </c>
      <c r="E8" s="31" t="inlineStr">
        <is>
          <t>Per-number and per-IP send limits plus a spend cap, closing the per-SMS cost trap flagged in docs/FRONTEND.md sec 5.6.</t>
        </is>
      </c>
      <c r="F8" s="31" t="inlineStr">
        <is>
          <t>Given repeated OTP requests for one number, when the limit is hit, then further sends are refused and the attempt is logged.</t>
        </is>
      </c>
      <c r="G8" s="31" t="inlineStr">
        <is>
          <t>Sprint 2</t>
        </is>
      </c>
      <c r="H8" s="31" t="inlineStr">
        <is>
          <t>BE Dev</t>
        </is>
      </c>
      <c r="I8" s="32" t="n">
        <v>3</v>
      </c>
      <c r="J8" s="31" t="inlineStr">
        <is>
          <t>Medium</t>
        </is>
      </c>
      <c r="K8" s="31" t="inlineStr">
        <is>
          <t>To Do</t>
        </is>
      </c>
      <c r="L8" s="33" t="n">
        <v>46287</v>
      </c>
      <c r="M8" s="33" t="n">
        <v>46298</v>
      </c>
    </row>
    <row r="9" s="16">
      <c r="A9" s="24">
        <f>"TASK-"&amp;TEXT(8,"000")</f>
        <v/>
      </c>
      <c r="B9" s="31" t="inlineStr">
        <is>
          <t>UC-006</t>
        </is>
      </c>
      <c r="C9" s="31" t="inlineStr">
        <is>
          <t>Google / LinkedIn OAuth sign-in</t>
        </is>
      </c>
      <c r="D9" s="31" t="inlineStr">
        <is>
          <t>Frontend</t>
        </is>
      </c>
      <c r="E9" s="31" t="inlineStr">
        <is>
          <t>signInWithGoogle / signInWithLinkedIn plus the Google One Tap prompt in services/googleOneTap.ts.</t>
        </is>
      </c>
      <c r="F9" s="31" t="inlineStr">
        <is>
          <t>Given an enabled provider, when the student completes consent, then a federated identity is linked and the session starts.</t>
        </is>
      </c>
      <c r="G9" s="31" t="inlineStr">
        <is>
          <t>Sprint 1</t>
        </is>
      </c>
      <c r="H9" s="31" t="inlineStr">
        <is>
          <t>FE Dev</t>
        </is>
      </c>
      <c r="I9" s="32" t="n">
        <v>5</v>
      </c>
      <c r="J9" s="31" t="inlineStr">
        <is>
          <t>Medium</t>
        </is>
      </c>
      <c r="K9" s="31" t="inlineStr">
        <is>
          <t>Done</t>
        </is>
      </c>
      <c r="L9" s="33" t="n">
        <v>46273</v>
      </c>
      <c r="M9" s="33" t="n">
        <v>46277</v>
      </c>
    </row>
    <row r="10" s="16">
      <c r="A10" s="24">
        <f>"TASK-"&amp;TEXT(9,"000")</f>
        <v/>
      </c>
      <c r="B10" s="31" t="inlineStr">
        <is>
          <t>UC-007</t>
        </is>
      </c>
      <c r="C10" s="31" t="inlineStr">
        <is>
          <t>One-click demo login</t>
        </is>
      </c>
      <c r="D10" s="31" t="inlineStr">
        <is>
          <t>Frontend</t>
        </is>
      </c>
      <c r="E10" s="31" t="inlineStr">
        <is>
          <t>services/demoSession.ts ensureDemoSession plus the shared-account demo badge in Header.tsx.</t>
        </is>
      </c>
      <c r="F10" s="31" t="inlineStr">
        <is>
          <t>Given a visitor on the landing page, when Demo Account is clicked, then they land inside the app on sample data with the badge visible.</t>
        </is>
      </c>
      <c r="G10" s="31" t="inlineStr">
        <is>
          <t>Sprint 1</t>
        </is>
      </c>
      <c r="H10" s="31" t="inlineStr">
        <is>
          <t>FE Dev</t>
        </is>
      </c>
      <c r="I10" s="32" t="n">
        <v>3</v>
      </c>
      <c r="J10" s="31" t="inlineStr">
        <is>
          <t>High</t>
        </is>
      </c>
      <c r="K10" s="31" t="inlineStr">
        <is>
          <t>Done</t>
        </is>
      </c>
      <c r="L10" s="33" t="n">
        <v>46273</v>
      </c>
      <c r="M10" s="33" t="n">
        <v>46277</v>
      </c>
    </row>
    <row r="11" s="16">
      <c r="A11" s="24">
        <f>"TASK-"&amp;TEXT(10,"000")</f>
        <v/>
      </c>
      <c r="B11" s="31" t="inlineStr">
        <is>
          <t>UC-008</t>
        </is>
      </c>
      <c r="C11" s="31" t="inlineStr">
        <is>
          <t>Demo account reset endpoint</t>
        </is>
      </c>
      <c r="D11" s="31" t="inlineStr">
        <is>
          <t>Backend</t>
        </is>
      </c>
      <c r="E11" s="31" t="inlineStr">
        <is>
          <t>POST /auth/demo/reset in demoController.resetDemoAccountData clearing attempts and learn-layer rows.</t>
        </is>
      </c>
      <c r="F11" s="31" t="inlineStr">
        <is>
          <t>Given the demo account has data, when reset is called, then attempts and learn rows are cleared and the user row survives.</t>
        </is>
      </c>
      <c r="G11" s="31" t="inlineStr">
        <is>
          <t>Sprint 1</t>
        </is>
      </c>
      <c r="H11" s="31" t="inlineStr">
        <is>
          <t>BE Dev</t>
        </is>
      </c>
      <c r="I11" s="32" t="n">
        <v>2</v>
      </c>
      <c r="J11" s="31" t="inlineStr">
        <is>
          <t>Low</t>
        </is>
      </c>
      <c r="K11" s="31" t="inlineStr">
        <is>
          <t>Done</t>
        </is>
      </c>
      <c r="L11" s="33" t="n">
        <v>46273</v>
      </c>
      <c r="M11" s="33" t="n">
        <v>46277</v>
      </c>
    </row>
    <row r="12" s="16">
      <c r="A12" s="24">
        <f>"TASK-"&amp;TEXT(11,"000")</f>
        <v/>
      </c>
      <c r="B12" s="31" t="inlineStr">
        <is>
          <t>UC-009</t>
        </is>
      </c>
      <c r="C12" s="31" t="inlineStr">
        <is>
          <t>Email availability lookup with rate limit</t>
        </is>
      </c>
      <c r="D12" s="31" t="inlineStr">
        <is>
          <t>Backend</t>
        </is>
      </c>
      <c r="E12" s="31" t="inlineStr">
        <is>
          <t>GET /auth/email-availability in emailAvailability.service.ts, rate-limited so it cannot be used as an enumeration oracle.</t>
        </is>
      </c>
      <c r="F12" s="31" t="inlineStr">
        <is>
          <t>Given a registered email, when it is typed, then the UI routes to sign-in; repeated lookups from one caller are throttled.</t>
        </is>
      </c>
      <c r="G12" s="31" t="inlineStr">
        <is>
          <t>Sprint 1</t>
        </is>
      </c>
      <c r="H12" s="31" t="inlineStr">
        <is>
          <t>BE Dev</t>
        </is>
      </c>
      <c r="I12" s="32" t="n">
        <v>3</v>
      </c>
      <c r="J12" s="31" t="inlineStr">
        <is>
          <t>Medium</t>
        </is>
      </c>
      <c r="K12" s="31" t="inlineStr">
        <is>
          <t>Done</t>
        </is>
      </c>
      <c r="L12" s="33" t="n">
        <v>46273</v>
      </c>
      <c r="M12" s="33" t="n">
        <v>46277</v>
      </c>
    </row>
    <row r="13" s="16">
      <c r="A13" s="24">
        <f>"TASK-"&amp;TEXT(12,"000")</f>
        <v/>
      </c>
      <c r="B13" s="31" t="inlineStr">
        <is>
          <t>UC-010</t>
        </is>
      </c>
      <c r="C13" s="31" t="inlineStr">
        <is>
          <t>Idle session heartbeat and expiry warning</t>
        </is>
      </c>
      <c r="D13" s="31" t="inlineStr">
        <is>
          <t>Full-stack</t>
        </is>
      </c>
      <c r="E13" s="31" t="inlineStr">
        <is>
          <t>POST /auth/session/heartbeat with useIdleSessionGuard.ts and SessionExpiryModal warning before idle/absolute expiry.</t>
        </is>
      </c>
      <c r="F13" s="31" t="inlineStr">
        <is>
          <t>Given an idle session near timeout, when the threshold passes, then the warning modal appears and the student can extend or end cleanly.</t>
        </is>
      </c>
      <c r="G13" s="31" t="inlineStr">
        <is>
          <t>Sprint 1</t>
        </is>
      </c>
      <c r="H13" s="31" t="inlineStr">
        <is>
          <t>Full-stack</t>
        </is>
      </c>
      <c r="I13" s="32" t="n">
        <v>5</v>
      </c>
      <c r="J13" s="31" t="inlineStr">
        <is>
          <t>High</t>
        </is>
      </c>
      <c r="K13" s="31" t="inlineStr">
        <is>
          <t>Done</t>
        </is>
      </c>
      <c r="L13" s="33" t="n">
        <v>46273</v>
      </c>
      <c r="M13" s="33" t="n">
        <v>46277</v>
      </c>
    </row>
    <row r="14" s="16">
      <c r="A14" s="24">
        <f>"TASK-"&amp;TEXT(13,"000")</f>
        <v/>
      </c>
      <c r="B14" s="31" t="inlineStr">
        <is>
          <t>UC-011</t>
        </is>
      </c>
      <c r="C14" s="31" t="inlineStr">
        <is>
          <t>Sign out</t>
        </is>
      </c>
      <c r="D14" s="31" t="inlineStr">
        <is>
          <t>Frontend</t>
        </is>
      </c>
      <c r="E14" s="31" t="inlineStr">
        <is>
          <t>Profile-menu sign-out calling POST /auth/session/logout and dropping cached profile state.</t>
        </is>
      </c>
      <c r="F14" s="31" t="inlineStr">
        <is>
          <t>Given a signed-in student, when Sign Out is clicked, then the session ends and no cached profile remains.</t>
        </is>
      </c>
      <c r="G14" s="31" t="inlineStr">
        <is>
          <t>Sprint 1</t>
        </is>
      </c>
      <c r="H14" s="31" t="inlineStr">
        <is>
          <t>FE Dev</t>
        </is>
      </c>
      <c r="I14" s="32" t="n">
        <v>1</v>
      </c>
      <c r="J14" s="31" t="inlineStr">
        <is>
          <t>High</t>
        </is>
      </c>
      <c r="K14" s="31" t="inlineStr">
        <is>
          <t>Done</t>
        </is>
      </c>
      <c r="L14" s="33" t="n">
        <v>46273</v>
      </c>
      <c r="M14" s="33" t="n">
        <v>46277</v>
      </c>
    </row>
    <row r="15" s="16">
      <c r="A15" s="24">
        <f>"TASK-"&amp;TEXT(14,"000")</f>
        <v/>
      </c>
      <c r="B15" s="31" t="inlineStr">
        <is>
          <t>UC-003</t>
        </is>
      </c>
      <c r="C15" s="31" t="inlineStr">
        <is>
          <t>Regression pass across all six sign-in paths</t>
        </is>
      </c>
      <c r="D15" s="31" t="inlineStr">
        <is>
          <t>QA/Testing</t>
        </is>
      </c>
      <c r="E15" s="31" t="inlineStr">
        <is>
          <t>Exercise password, email OTP, phone OTP, Google, LinkedIn and demo sign-in end to end on desktop and mobile widths.</t>
        </is>
      </c>
      <c r="F15" s="31" t="inlineStr">
        <is>
          <t>Given each of the six paths, when it is run against a clean account, then sign-in succeeds and GET /me returns the right profile.</t>
        </is>
      </c>
      <c r="G15" s="31" t="inlineStr">
        <is>
          <t>Sprint 2</t>
        </is>
      </c>
      <c r="H15" s="31" t="inlineStr">
        <is>
          <t>QA</t>
        </is>
      </c>
      <c r="I15" s="32" t="n">
        <v>5</v>
      </c>
      <c r="J15" s="31" t="inlineStr">
        <is>
          <t>High</t>
        </is>
      </c>
      <c r="K15" s="31" t="inlineStr">
        <is>
          <t>To Do</t>
        </is>
      </c>
      <c r="L15" s="33" t="n">
        <v>46287</v>
      </c>
      <c r="M15" s="33" t="n">
        <v>46298</v>
      </c>
    </row>
    <row r="16" s="16">
      <c r="A16" s="24">
        <f>"TASK-"&amp;TEXT(15,"000")</f>
        <v/>
      </c>
      <c r="B16" s="31" t="inlineStr">
        <is>
          <t>UC-012</t>
        </is>
      </c>
      <c r="C16" s="31" t="inlineStr">
        <is>
          <t>Onboarding sync (exam, class, target year)</t>
        </is>
      </c>
      <c r="D16" s="31" t="inlineStr">
        <is>
          <t>Backend</t>
        </is>
      </c>
      <c r="E16" s="31" t="inlineStr">
        <is>
          <t>GET /me onboarding sync in meProfile.service.ts persisting targetExam, classLevel and targetYear on core.student_profile.</t>
        </is>
      </c>
      <c r="F16" s="31" t="inlineStr">
        <is>
          <t>Given a new student completes onboarding, when GET /me is called, then the three fields are persisted and returned.</t>
        </is>
      </c>
      <c r="G16" s="31" t="inlineStr">
        <is>
          <t>Sprint 1</t>
        </is>
      </c>
      <c r="H16" s="31" t="inlineStr">
        <is>
          <t>BE Dev</t>
        </is>
      </c>
      <c r="I16" s="32" t="n">
        <v>5</v>
      </c>
      <c r="J16" s="31" t="inlineStr">
        <is>
          <t>High</t>
        </is>
      </c>
      <c r="K16" s="31" t="inlineStr">
        <is>
          <t>Done</t>
        </is>
      </c>
      <c r="L16" s="33" t="n">
        <v>46273</v>
      </c>
      <c r="M16" s="33" t="n">
        <v>46277</v>
      </c>
    </row>
    <row r="17" s="16">
      <c r="A17" s="24">
        <f>"TASK-"&amp;TEXT(16,"000")</f>
        <v/>
      </c>
      <c r="B17" s="31" t="inlineStr">
        <is>
          <t>UC-013</t>
        </is>
      </c>
      <c r="C17" s="31" t="inlineStr">
        <is>
          <t>Consolidated profile snapshot (GET /me)</t>
        </is>
      </c>
      <c r="D17" s="31" t="inlineStr">
        <is>
          <t>Backend</t>
        </is>
      </c>
      <c r="E17" s="31" t="inlineStr">
        <is>
          <t>getFullProfile returning identity, role, status, plan and academic details in one authoritative response.</t>
        </is>
      </c>
      <c r="F17" s="31" t="inlineStr">
        <is>
          <t>Given a valid access token, when GET /me is called, then one response carries every field ProfileView renders.</t>
        </is>
      </c>
      <c r="G17" s="31" t="inlineStr">
        <is>
          <t>Sprint 1</t>
        </is>
      </c>
      <c r="H17" s="31" t="inlineStr">
        <is>
          <t>BE Dev</t>
        </is>
      </c>
      <c r="I17" s="32" t="n">
        <v>3</v>
      </c>
      <c r="J17" s="31" t="inlineStr">
        <is>
          <t>High</t>
        </is>
      </c>
      <c r="K17" s="31" t="inlineStr">
        <is>
          <t>Done</t>
        </is>
      </c>
      <c r="L17" s="33" t="n">
        <v>46273</v>
      </c>
      <c r="M17" s="33" t="n">
        <v>46277</v>
      </c>
    </row>
    <row r="18" s="16">
      <c r="A18" s="24">
        <f>"TASK-"&amp;TEXT(17,"000")</f>
        <v/>
      </c>
      <c r="B18" s="31" t="inlineStr">
        <is>
          <t>UC-014</t>
        </is>
      </c>
      <c r="C18" s="31" t="inlineStr">
        <is>
          <t>Strict self-service profile update</t>
        </is>
      </c>
      <c r="D18" s="31" t="inlineStr">
        <is>
          <t>Backend</t>
        </is>
      </c>
      <c r="E18" s="31" t="inlineStr">
        <is>
          <t>PATCH /me with a .strict() updateProfileSchema so forbidden fields are rejected rather than silently dropped.</t>
        </is>
      </c>
      <c r="F18" s="31" t="inlineStr">
        <is>
          <t>Given a payload containing a non-self-editable field, when it is submitted, then the request is rejected with a field-level error.</t>
        </is>
      </c>
      <c r="G18" s="31" t="inlineStr">
        <is>
          <t>Sprint 1</t>
        </is>
      </c>
      <c r="H18" s="31" t="inlineStr">
        <is>
          <t>BE Dev</t>
        </is>
      </c>
      <c r="I18" s="32" t="n">
        <v>3</v>
      </c>
      <c r="J18" s="31" t="inlineStr">
        <is>
          <t>High</t>
        </is>
      </c>
      <c r="K18" s="31" t="inlineStr">
        <is>
          <t>Done</t>
        </is>
      </c>
      <c r="L18" s="33" t="n">
        <v>46273</v>
      </c>
      <c r="M18" s="33" t="n">
        <v>46277</v>
      </c>
    </row>
    <row r="19" s="16">
      <c r="A19" s="24">
        <f>"TASK-"&amp;TEXT(18,"000")</f>
        <v/>
      </c>
      <c r="B19" s="31" t="inlineStr">
        <is>
          <t>UC-015</t>
        </is>
      </c>
      <c r="C19" s="31" t="inlineStr">
        <is>
          <t>Wrap remaining Header and Dashboard strings in t() (DB-05 phase 1)</t>
        </is>
      </c>
      <c r="D19" s="31" t="inlineStr">
        <is>
          <t>Frontend</t>
        </is>
      </c>
      <c r="E19" s="31" t="inlineStr">
        <is>
          <t>First screen-by-screen pass of the deferred i18n sweep: wrap unwrapped strings and add the missing en.json / ta.json keys for Header and Dashboard.</t>
        </is>
      </c>
      <c r="F19" s="31" t="inlineStr">
        <is>
          <t>Given the UI language is Tamil, when Header and Dashboard are opened, then no English string remains and every key resolves.</t>
        </is>
      </c>
      <c r="G19" s="31" t="inlineStr">
        <is>
          <t>Sprint 1</t>
        </is>
      </c>
      <c r="H19" s="31" t="inlineStr">
        <is>
          <t>FE Dev</t>
        </is>
      </c>
      <c r="I19" s="32" t="n">
        <v>8</v>
      </c>
      <c r="J19" s="31" t="inlineStr">
        <is>
          <t>Medium</t>
        </is>
      </c>
      <c r="K19" s="31" t="inlineStr">
        <is>
          <t>In Progress</t>
        </is>
      </c>
      <c r="L19" s="33" t="n">
        <v>46273</v>
      </c>
      <c r="M19" s="33" t="n">
        <v>46284</v>
      </c>
    </row>
    <row r="20" s="16">
      <c r="A20" s="24">
        <f>"TASK-"&amp;TEXT(19,"000")</f>
        <v/>
      </c>
      <c r="B20" s="31" t="inlineStr">
        <is>
          <t>UC-015</t>
        </is>
      </c>
      <c r="C20" s="31" t="inlineStr">
        <is>
          <t>Tamil string-coverage sweep across remaining screens (DB-05)</t>
        </is>
      </c>
      <c r="D20" s="31" t="inlineStr">
        <is>
          <t>Frontend</t>
        </is>
      </c>
      <c r="E20" s="31" t="inlineStr">
        <is>
          <t>Continue the sweep across the other useLanguage() consumers, then run the exit gate: click through every route in Tamil.</t>
        </is>
      </c>
      <c r="F20" s="31" t="inlineStr">
        <is>
          <t>Given every route is visited in Tamil, when the click-through completes, then zero untranslated strings are found.</t>
        </is>
      </c>
      <c r="G20" s="31" t="inlineStr">
        <is>
          <t>Sprint 3</t>
        </is>
      </c>
      <c r="H20" s="31" t="inlineStr">
        <is>
          <t>FE Dev</t>
        </is>
      </c>
      <c r="I20" s="32" t="n">
        <v>13</v>
      </c>
      <c r="J20" s="31" t="inlineStr">
        <is>
          <t>Medium</t>
        </is>
      </c>
      <c r="K20" s="31" t="inlineStr">
        <is>
          <t>To Do</t>
        </is>
      </c>
      <c r="L20" s="33" t="n">
        <v>46301</v>
      </c>
      <c r="M20" s="33" t="n">
        <v>46312</v>
      </c>
    </row>
    <row r="21" s="16">
      <c r="A21" s="24">
        <f>"TASK-"&amp;TEXT(20,"000")</f>
        <v/>
      </c>
      <c r="B21" s="31" t="inlineStr">
        <is>
          <t>UC-016</t>
        </is>
      </c>
      <c r="C21" s="31" t="inlineStr">
        <is>
          <t>Light / dark theme toggle</t>
        </is>
      </c>
      <c r="D21" s="31" t="inlineStr">
        <is>
          <t>Frontend</t>
        </is>
      </c>
      <c r="E21" s="31" t="inlineStr">
        <is>
          <t>Header.tsx toggleDarkMode with Tailwind v4 dark: variants and a persisted preference.</t>
        </is>
      </c>
      <c r="F21" s="31" t="inlineStr">
        <is>
          <t>Given dark mode is chosen, when the app reloads, then the theme is still dark.</t>
        </is>
      </c>
      <c r="G21" s="31" t="inlineStr">
        <is>
          <t>Sprint 1</t>
        </is>
      </c>
      <c r="H21" s="31" t="inlineStr">
        <is>
          <t>FE Dev</t>
        </is>
      </c>
      <c r="I21" s="32" t="n">
        <v>1</v>
      </c>
      <c r="J21" s="31" t="inlineStr">
        <is>
          <t>Low</t>
        </is>
      </c>
      <c r="K21" s="31" t="inlineStr">
        <is>
          <t>Done</t>
        </is>
      </c>
      <c r="L21" s="33" t="n">
        <v>46273</v>
      </c>
      <c r="M21" s="33" t="n">
        <v>46277</v>
      </c>
    </row>
    <row r="22" s="16">
      <c r="A22" s="24">
        <f>"TASK-"&amp;TEXT(21,"000")</f>
        <v/>
      </c>
      <c r="B22" s="31" t="inlineStr">
        <is>
          <t>UC-017</t>
        </is>
      </c>
      <c r="C22" s="31" t="inlineStr">
        <is>
          <t>Persist notification and security preferences server-side</t>
        </is>
      </c>
      <c r="D22" s="31" t="inlineStr">
        <is>
          <t>Full-stack</t>
        </is>
      </c>
      <c r="E22" s="31" t="inlineStr">
        <is>
          <t>Replace Header.tsx's local useState toggles (twoFactor, dailyReminders, whatsappUpdates, emailDiagnosticReports) with a real preferences table and GET/PATCH endpoints.</t>
        </is>
      </c>
      <c r="F22" s="31" t="inlineStr">
        <is>
          <t>Given a toggle is changed, when the app reloads on another device, then the stored value is returned by the API and rendered.</t>
        </is>
      </c>
      <c r="G22" s="31" t="inlineStr">
        <is>
          <t>Sprint 2</t>
        </is>
      </c>
      <c r="H22" s="31" t="inlineStr">
        <is>
          <t>Full-stack</t>
        </is>
      </c>
      <c r="I22" s="32" t="n">
        <v>8</v>
      </c>
      <c r="J22" s="31" t="inlineStr">
        <is>
          <t>Medium</t>
        </is>
      </c>
      <c r="K22" s="31" t="inlineStr">
        <is>
          <t>To Do</t>
        </is>
      </c>
      <c r="L22" s="33" t="n">
        <v>46287</v>
      </c>
      <c r="M22" s="33" t="n">
        <v>46298</v>
      </c>
    </row>
    <row r="23" s="16">
      <c r="A23" s="24">
        <f>"TASK-"&amp;TEXT(22,"000")</f>
        <v/>
      </c>
      <c r="B23" s="31" t="inlineStr">
        <is>
          <t>UC-017</t>
        </is>
      </c>
      <c r="C23" s="31" t="inlineStr">
        <is>
          <t>Wire reminder and diagnostic delivery to stored preferences</t>
        </is>
      </c>
      <c r="D23" s="31" t="inlineStr">
        <is>
          <t>Backend</t>
        </is>
      </c>
      <c r="E23" s="31" t="inlineStr">
        <is>
          <t>Make the reminder, WhatsApp and diagnostic-email senders read the persisted preferences instead of firing unconditionally.</t>
        </is>
      </c>
      <c r="F23" s="31" t="inlineStr">
        <is>
          <t>Given a student disables daily reminders, when the scheduler runs, then no reminder is sent to that student.</t>
        </is>
      </c>
      <c r="G23" s="31" t="inlineStr">
        <is>
          <t>Sprint 3</t>
        </is>
      </c>
      <c r="H23" s="31" t="inlineStr">
        <is>
          <t>BE Dev</t>
        </is>
      </c>
      <c r="I23" s="32" t="n">
        <v>8</v>
      </c>
      <c r="J23" s="31" t="inlineStr">
        <is>
          <t>Medium</t>
        </is>
      </c>
      <c r="K23" s="31" t="inlineStr">
        <is>
          <t>To Do</t>
        </is>
      </c>
      <c r="L23" s="33" t="n">
        <v>46301</v>
      </c>
      <c r="M23" s="33" t="n">
        <v>46312</v>
      </c>
    </row>
    <row r="24" s="16">
      <c r="A24" s="24">
        <f>"TASK-"&amp;TEXT(23,"000")</f>
        <v/>
      </c>
      <c r="B24" s="31" t="inlineStr">
        <is>
          <t>UC-017</t>
        </is>
      </c>
      <c r="C24" s="31" t="inlineStr">
        <is>
          <t>Two-factor enrolment behind the security toggle</t>
        </is>
      </c>
      <c r="D24" s="31" t="inlineStr">
        <is>
          <t>Full-stack</t>
        </is>
      </c>
      <c r="E24" s="31" t="inlineStr">
        <is>
          <t>Enrolment, verification and recovery-code flow for the 2FA toggle that today only sets local state.</t>
        </is>
      </c>
      <c r="F24" s="31" t="inlineStr">
        <is>
          <t>Given 2FA is enabled, when the student next signs in, then a second factor is required and recovery codes are issued once.</t>
        </is>
      </c>
      <c r="G24" s="31" t="inlineStr">
        <is>
          <t>Backlog</t>
        </is>
      </c>
      <c r="H24" s="31" t="inlineStr">
        <is>
          <t>Full-stack</t>
        </is>
      </c>
      <c r="I24" s="32" t="n">
        <v>13</v>
      </c>
      <c r="J24" s="31" t="inlineStr">
        <is>
          <t>Medium</t>
        </is>
      </c>
      <c r="K24" s="31" t="inlineStr">
        <is>
          <t>To Do</t>
        </is>
      </c>
      <c r="L24" s="33" t="n"/>
      <c r="M24" s="33" t="n"/>
    </row>
    <row r="25" s="16">
      <c r="A25" s="24">
        <f>"TASK-"&amp;TEXT(24,"000")</f>
        <v/>
      </c>
      <c r="B25" s="31" t="inlineStr">
        <is>
          <t>UC-018</t>
        </is>
      </c>
      <c r="C25" s="31" t="inlineStr">
        <is>
          <t>Catalog tree endpoint fetched once per session</t>
        </is>
      </c>
      <c r="D25" s="31" t="inlineStr">
        <is>
          <t>Backend</t>
        </is>
      </c>
      <c r="E25" s="31" t="inlineStr">
        <is>
          <t>GET /catalog/tree returning exam &gt; subject &gt; unit &gt; chapter &gt; topic, consumed by catalogApi.ts and fetched once in App.tsx.</t>
        </is>
      </c>
      <c r="F25" s="31" t="inlineStr">
        <is>
          <t>Given the app loads, when the tree is fetched, then every scope picker is populated from that single response.</t>
        </is>
      </c>
      <c r="G25" s="31" t="inlineStr">
        <is>
          <t>Sprint 1</t>
        </is>
      </c>
      <c r="H25" s="31" t="inlineStr">
        <is>
          <t>BE Dev</t>
        </is>
      </c>
      <c r="I25" s="32" t="n">
        <v>5</v>
      </c>
      <c r="J25" s="31" t="inlineStr">
        <is>
          <t>High</t>
        </is>
      </c>
      <c r="K25" s="31" t="inlineStr">
        <is>
          <t>Done</t>
        </is>
      </c>
      <c r="L25" s="33" t="n">
        <v>46273</v>
      </c>
      <c r="M25" s="33" t="n">
        <v>46277</v>
      </c>
    </row>
    <row r="26" s="16">
      <c r="A26" s="24">
        <f>"TASK-"&amp;TEXT(25,"000")</f>
        <v/>
      </c>
      <c r="B26" s="31" t="inlineStr">
        <is>
          <t>UC-019</t>
        </is>
      </c>
      <c r="C26" s="31" t="inlineStr">
        <is>
          <t>NEET course area and syllabus browsing</t>
        </is>
      </c>
      <c r="D26" s="31" t="inlineStr">
        <is>
          <t>Frontend</t>
        </is>
      </c>
      <c r="E26" s="31" t="inlineStr">
        <is>
          <t>CourseAreaView / CoursesView over data/syllabusData.ts, with the route into unit-scoped practice.</t>
        </is>
      </c>
      <c r="F26" s="31" t="inlineStr">
        <is>
          <t>Given the NEET tab, when a unit is opened, then its chapters render and Build Test starts a scoped attempt.</t>
        </is>
      </c>
      <c r="G26" s="31" t="inlineStr">
        <is>
          <t>Sprint 1</t>
        </is>
      </c>
      <c r="H26" s="31" t="inlineStr">
        <is>
          <t>FE Dev</t>
        </is>
      </c>
      <c r="I26" s="32" t="n">
        <v>5</v>
      </c>
      <c r="J26" s="31" t="inlineStr">
        <is>
          <t>High</t>
        </is>
      </c>
      <c r="K26" s="31" t="inlineStr">
        <is>
          <t>In Progress</t>
        </is>
      </c>
      <c r="L26" s="33" t="n">
        <v>46273</v>
      </c>
      <c r="M26" s="33" t="n">
        <v>46284</v>
      </c>
    </row>
    <row r="27" s="16">
      <c r="A27" s="24">
        <f>"TASK-"&amp;TEXT(26,"000")</f>
        <v/>
      </c>
      <c r="B27" s="31" t="inlineStr">
        <is>
          <t>UC-019</t>
        </is>
      </c>
      <c r="C27" s="31" t="inlineStr">
        <is>
          <t>Replace empty JEE tabs with an explicit coming-soon state</t>
        </is>
      </c>
      <c r="D27" s="31" t="inlineStr">
        <is>
          <t>Frontend</t>
        </is>
      </c>
      <c r="E27" s="31" t="inlineStr">
        <is>
          <t>The JEE Mains and Advanced tabs are deliberate placeholders today and render blank; give them an honest empty state.</t>
        </is>
      </c>
      <c r="F27" s="31" t="inlineStr">
        <is>
          <t>Given the JEE tab is opened, when no syllabus exists, then a clear coming-soon panel is shown instead of an empty page.</t>
        </is>
      </c>
      <c r="G27" s="31" t="inlineStr">
        <is>
          <t>Sprint 4</t>
        </is>
      </c>
      <c r="H27" s="31" t="inlineStr">
        <is>
          <t>FE Dev</t>
        </is>
      </c>
      <c r="I27" s="32" t="n">
        <v>2</v>
      </c>
      <c r="J27" s="31" t="inlineStr">
        <is>
          <t>Low</t>
        </is>
      </c>
      <c r="K27" s="31" t="inlineStr">
        <is>
          <t>To Do</t>
        </is>
      </c>
      <c r="L27" s="33" t="n">
        <v>46315</v>
      </c>
      <c r="M27" s="33" t="n">
        <v>46326</v>
      </c>
    </row>
    <row r="28" s="16">
      <c r="A28" s="24">
        <f>"TASK-"&amp;TEXT(27,"000")</f>
        <v/>
      </c>
      <c r="B28" s="31" t="inlineStr">
        <is>
          <t>UC-020</t>
        </is>
      </c>
      <c r="C28" s="31" t="inlineStr">
        <is>
          <t>Unit study material preview and download</t>
        </is>
      </c>
      <c r="D28" s="31" t="inlineStr">
        <is>
          <t>Full-stack</t>
        </is>
      </c>
      <c r="E28" s="31" t="inlineStr">
        <is>
          <t>unitMaterialController redirect plus the frontend content-type check that stops a Google sign-in page being saved as a fake PDF.</t>
        </is>
      </c>
      <c r="F28" s="31" t="inlineStr">
        <is>
          <t>Given a shared Drive file, when download is clicked, then a valid file is saved; given an unshared one, a single clear message is shown.</t>
        </is>
      </c>
      <c r="G28" s="31" t="inlineStr">
        <is>
          <t>Sprint 1</t>
        </is>
      </c>
      <c r="H28" s="31" t="inlineStr">
        <is>
          <t>Full-stack</t>
        </is>
      </c>
      <c r="I28" s="32" t="n">
        <v>3</v>
      </c>
      <c r="J28" s="31" t="inlineStr">
        <is>
          <t>High</t>
        </is>
      </c>
      <c r="K28" s="31" t="inlineStr">
        <is>
          <t>In Progress</t>
        </is>
      </c>
      <c r="L28" s="33" t="n">
        <v>46273</v>
      </c>
      <c r="M28" s="33" t="n">
        <v>46284</v>
      </c>
    </row>
    <row r="29" s="16">
      <c r="A29" s="24">
        <f>"TASK-"&amp;TEXT(28,"000")</f>
        <v/>
      </c>
      <c r="B29" s="31" t="inlineStr">
        <is>
          <t>UC-020</t>
        </is>
      </c>
      <c r="C29" s="31" t="inlineStr">
        <is>
          <t>Re-verify Drive material access after sharing is fixed (DB-06)</t>
        </is>
      </c>
      <c r="D29" s="31" t="inlineStr">
        <is>
          <t>QA/Testing</t>
        </is>
      </c>
      <c r="E29" s="31" t="inlineStr">
        <is>
          <t>All 82 learn.unit_material rows point at Drive files that are not link-shared. Blocked on the Drive owner changing sharing, then re-run db/scripts/check-drive-material-access.ts.</t>
        </is>
      </c>
      <c r="F29" s="31" t="inlineStr">
        <is>
          <t>Given sharing is set to Anyone with the link, when the script runs, then all 82 files return the file rather than a sign-in wall.</t>
        </is>
      </c>
      <c r="G29" s="31" t="inlineStr">
        <is>
          <t>Sprint 2</t>
        </is>
      </c>
      <c r="H29" s="31" t="inlineStr">
        <is>
          <t>Content Ops</t>
        </is>
      </c>
      <c r="I29" s="32" t="n">
        <v>2</v>
      </c>
      <c r="J29" s="31" t="inlineStr">
        <is>
          <t>High</t>
        </is>
      </c>
      <c r="K29" s="31" t="inlineStr">
        <is>
          <t>Blocked</t>
        </is>
      </c>
      <c r="L29" s="33" t="n">
        <v>46287</v>
      </c>
      <c r="M29" s="33" t="n">
        <v>46298</v>
      </c>
    </row>
    <row r="30" s="16">
      <c r="A30" s="24">
        <f>"TASK-"&amp;TEXT(29,"000")</f>
        <v/>
      </c>
      <c r="B30" s="31" t="inlineStr">
        <is>
          <t>UC-021</t>
        </is>
      </c>
      <c r="C30" s="31" t="inlineStr">
        <is>
          <t>Expose the resource library book list through an API</t>
        </is>
      </c>
      <c r="D30" s="31" t="inlineStr">
        <is>
          <t>Backend</t>
        </is>
      </c>
      <c r="E30" s="31" t="inlineStr">
        <is>
          <t>Load db/books/I20_23_Resource_Library_Book_List_REAL.json behind a read route; today the data exists with no endpoint.</t>
        </is>
      </c>
      <c r="F30" s="31" t="inlineStr">
        <is>
          <t>Given the endpoint is called, when a subject filter is passed, then the matching books are returned with their metadata.</t>
        </is>
      </c>
      <c r="G30" s="31" t="inlineStr">
        <is>
          <t>Sprint 3</t>
        </is>
      </c>
      <c r="H30" s="31" t="inlineStr">
        <is>
          <t>BE Dev</t>
        </is>
      </c>
      <c r="I30" s="32" t="n">
        <v>5</v>
      </c>
      <c r="J30" s="31" t="inlineStr">
        <is>
          <t>Low</t>
        </is>
      </c>
      <c r="K30" s="31" t="inlineStr">
        <is>
          <t>To Do</t>
        </is>
      </c>
      <c r="L30" s="33" t="n">
        <v>46301</v>
      </c>
      <c r="M30" s="33" t="n">
        <v>46312</v>
      </c>
    </row>
    <row r="31" s="16">
      <c r="A31" s="24">
        <f>"TASK-"&amp;TEXT(30,"000")</f>
        <v/>
      </c>
      <c r="B31" s="31" t="inlineStr">
        <is>
          <t>UC-021</t>
        </is>
      </c>
      <c r="C31" s="31" t="inlineStr">
        <is>
          <t>Resource library browse screen</t>
        </is>
      </c>
      <c r="D31" s="31" t="inlineStr">
        <is>
          <t>Frontend</t>
        </is>
      </c>
      <c r="E31" s="31" t="inlineStr">
        <is>
          <t>First UI over the book list: browse by subject, open a book's details.</t>
        </is>
      </c>
      <c r="F31" s="31" t="inlineStr">
        <is>
          <t>Given the library is opened, when a subject is chosen, then its recommended books render from the API.</t>
        </is>
      </c>
      <c r="G31" s="31" t="inlineStr">
        <is>
          <t>Sprint 3</t>
        </is>
      </c>
      <c r="H31" s="31" t="inlineStr">
        <is>
          <t>FE Dev</t>
        </is>
      </c>
      <c r="I31" s="32" t="n">
        <v>5</v>
      </c>
      <c r="J31" s="31" t="inlineStr">
        <is>
          <t>Low</t>
        </is>
      </c>
      <c r="K31" s="31" t="inlineStr">
        <is>
          <t>To Do</t>
        </is>
      </c>
      <c r="L31" s="33" t="n">
        <v>46301</v>
      </c>
      <c r="M31" s="33" t="n">
        <v>46312</v>
      </c>
    </row>
    <row r="32" s="16">
      <c r="A32" s="24">
        <f>"TASK-"&amp;TEXT(31,"000")</f>
        <v/>
      </c>
      <c r="B32" s="31" t="inlineStr">
        <is>
          <t>UC-022</t>
        </is>
      </c>
      <c r="C32" s="31" t="inlineStr">
        <is>
          <t>Subject / chapter / topic practice configurator</t>
        </is>
      </c>
      <c r="D32" s="31" t="inlineStr">
        <is>
          <t>Full-stack</t>
        </is>
      </c>
      <c r="E32" s="31" t="inlineStr">
        <is>
          <t>TestListView configuration plus sessionController.createSession, a discriminated union over the four test modes.</t>
        </is>
      </c>
      <c r="F32" s="31" t="inlineStr">
        <is>
          <t>Given a scope and count, when Start is pressed, then a published assess.test and a live attempt exist.</t>
        </is>
      </c>
      <c r="G32" s="31" t="inlineStr">
        <is>
          <t>Sprint 1</t>
        </is>
      </c>
      <c r="H32" s="31" t="inlineStr">
        <is>
          <t>Full-stack</t>
        </is>
      </c>
      <c r="I32" s="32" t="n">
        <v>8</v>
      </c>
      <c r="J32" s="31" t="inlineStr">
        <is>
          <t>Critical</t>
        </is>
      </c>
      <c r="K32" s="31" t="inlineStr">
        <is>
          <t>Done</t>
        </is>
      </c>
      <c r="L32" s="33" t="n">
        <v>46273</v>
      </c>
      <c r="M32" s="33" t="n">
        <v>46277</v>
      </c>
    </row>
    <row r="33" s="16">
      <c r="A33" s="24">
        <f>"TASK-"&amp;TEXT(32,"000")</f>
        <v/>
      </c>
      <c r="B33" s="31" t="inlineStr">
        <is>
          <t>UC-025</t>
        </is>
      </c>
      <c r="C33" s="31" t="inlineStr">
        <is>
          <t>Image-only practice mode</t>
        </is>
      </c>
      <c r="D33" s="31" t="inlineStr">
        <is>
          <t>Backend</t>
        </is>
      </c>
      <c r="E33" s="31" t="inlineStr">
        <is>
          <t>sessionController mode 'image-practice' with asset-resolver and QuestionImage handling the diagram items.</t>
        </is>
      </c>
      <c r="F33" s="31" t="inlineStr">
        <is>
          <t>Given the image mode, when the attempt is built, then every question carries an image and a short pool fails clearly.</t>
        </is>
      </c>
      <c r="G33" s="31" t="inlineStr">
        <is>
          <t>Sprint 1</t>
        </is>
      </c>
      <c r="H33" s="31" t="inlineStr">
        <is>
          <t>BE Dev</t>
        </is>
      </c>
      <c r="I33" s="32" t="n">
        <v>5</v>
      </c>
      <c r="J33" s="31" t="inlineStr">
        <is>
          <t>Medium</t>
        </is>
      </c>
      <c r="K33" s="31" t="inlineStr">
        <is>
          <t>Done</t>
        </is>
      </c>
      <c r="L33" s="33" t="n">
        <v>46273</v>
      </c>
      <c r="M33" s="33" t="n">
        <v>46277</v>
      </c>
    </row>
    <row r="34" s="16">
      <c r="A34" s="24">
        <f>"TASK-"&amp;TEXT(33,"000")</f>
        <v/>
      </c>
      <c r="B34" s="31" t="inlineStr">
        <is>
          <t>UC-026</t>
        </is>
      </c>
      <c r="C34" s="31" t="inlineStr">
        <is>
          <t>Full NEET mock with practice-first gate</t>
        </is>
      </c>
      <c r="D34" s="31" t="inlineStr">
        <is>
          <t>Backend</t>
        </is>
      </c>
      <c r="E34" s="31" t="inlineStr">
        <is>
          <t>sessionController mode 'full-mock' plus the hasCompletedPracticeTest gate before a full paper can start.</t>
        </is>
      </c>
      <c r="F34" s="31" t="inlineStr">
        <is>
          <t>Given no completed practice test, when Mock Test is clicked, then the gate explains why; otherwise a full sectioned attempt starts.</t>
        </is>
      </c>
      <c r="G34" s="31" t="inlineStr">
        <is>
          <t>Sprint 1</t>
        </is>
      </c>
      <c r="H34" s="31" t="inlineStr">
        <is>
          <t>BE Dev</t>
        </is>
      </c>
      <c r="I34" s="32" t="n">
        <v>5</v>
      </c>
      <c r="J34" s="31" t="inlineStr">
        <is>
          <t>Critical</t>
        </is>
      </c>
      <c r="K34" s="31" t="inlineStr">
        <is>
          <t>Done</t>
        </is>
      </c>
      <c r="L34" s="33" t="n">
        <v>46273</v>
      </c>
      <c r="M34" s="33" t="n">
        <v>46277</v>
      </c>
    </row>
    <row r="35" s="16">
      <c r="A35" s="24">
        <f>"TASK-"&amp;TEXT(34,"000")</f>
        <v/>
      </c>
      <c r="B35" s="31" t="inlineStr">
        <is>
          <t>UC-027</t>
        </is>
      </c>
      <c r="C35" s="31" t="inlineStr">
        <is>
          <t>Custom multi-scope paper</t>
        </is>
      </c>
      <c r="D35" s="31" t="inlineStr">
        <is>
          <t>Frontend</t>
        </is>
      </c>
      <c r="E35" s="31" t="inlineStr">
        <is>
          <t>Mode 'custom' with TestListView.distributeCount spreading the requested total across the chosen buckets.</t>
        </is>
      </c>
      <c r="F35" s="31" t="inlineStr">
        <is>
          <t>Given several scopes and a total, when the test starts, then the counts are distributed and every scope is represented.</t>
        </is>
      </c>
      <c r="G35" s="31" t="inlineStr">
        <is>
          <t>Sprint 1</t>
        </is>
      </c>
      <c r="H35" s="31" t="inlineStr">
        <is>
          <t>FE Dev</t>
        </is>
      </c>
      <c r="I35" s="32" t="n">
        <v>5</v>
      </c>
      <c r="J35" s="31" t="inlineStr">
        <is>
          <t>High</t>
        </is>
      </c>
      <c r="K35" s="31" t="inlineStr">
        <is>
          <t>Done</t>
        </is>
      </c>
      <c r="L35" s="33" t="n">
        <v>46273</v>
      </c>
      <c r="M35" s="33" t="n">
        <v>46277</v>
      </c>
    </row>
    <row r="36" s="16">
      <c r="A36" s="24">
        <f>"TASK-"&amp;TEXT(35,"000")</f>
        <v/>
      </c>
      <c r="B36" s="31" t="inlineStr">
        <is>
          <t>UC-028</t>
        </is>
      </c>
      <c r="C36" s="31" t="inlineStr">
        <is>
          <t>Launch a test from a course unit or plan goal</t>
        </is>
      </c>
      <c r="D36" s="31" t="inlineStr">
        <is>
          <t>Frontend</t>
        </is>
      </c>
      <c r="E36" s="31" t="inlineStr">
        <is>
          <t>CoursesView / StudyPlanView name-match handoff into the test configurator.</t>
        </is>
      </c>
      <c r="F36" s="31" t="inlineStr">
        <is>
          <t>Given a unit or goal, when Build Test is clicked, then the attempt starts pre-scoped to it.</t>
        </is>
      </c>
      <c r="G36" s="31" t="inlineStr">
        <is>
          <t>Sprint 1</t>
        </is>
      </c>
      <c r="H36" s="31" t="inlineStr">
        <is>
          <t>FE Dev</t>
        </is>
      </c>
      <c r="I36" s="32" t="n">
        <v>3</v>
      </c>
      <c r="J36" s="31" t="inlineStr">
        <is>
          <t>Medium</t>
        </is>
      </c>
      <c r="K36" s="31" t="inlineStr">
        <is>
          <t>Done</t>
        </is>
      </c>
      <c r="L36" s="33" t="n">
        <v>46273</v>
      </c>
      <c r="M36" s="33" t="n">
        <v>46277</v>
      </c>
    </row>
    <row r="37" s="16">
      <c r="A37" s="24">
        <f>"TASK-"&amp;TEXT(36,"000")</f>
        <v/>
      </c>
      <c r="B37" s="31" t="inlineStr">
        <is>
          <t>UC-028</t>
        </is>
      </c>
      <c r="C37" s="31" t="inlineStr">
        <is>
          <t>Replace the name-match handoff with catalog ids</t>
        </is>
      </c>
      <c r="D37" s="31" t="inlineStr">
        <is>
          <t>Frontend</t>
        </is>
      </c>
      <c r="E37" s="31" t="inlineStr">
        <is>
          <t>Local syllabus strings are matched to catalog nodes by name today; carry the real uuid through the handoff instead.</t>
        </is>
      </c>
      <c r="F37" s="31" t="inlineStr">
        <is>
          <t>Given a unit whose title differs from the catalog label, when Build Test is clicked, then the correct scope is still selected.</t>
        </is>
      </c>
      <c r="G37" s="31" t="inlineStr">
        <is>
          <t>Sprint 3</t>
        </is>
      </c>
      <c r="H37" s="31" t="inlineStr">
        <is>
          <t>FE Dev</t>
        </is>
      </c>
      <c r="I37" s="32" t="n">
        <v>5</v>
      </c>
      <c r="J37" s="31" t="inlineStr">
        <is>
          <t>Medium</t>
        </is>
      </c>
      <c r="K37" s="31" t="inlineStr">
        <is>
          <t>To Do</t>
        </is>
      </c>
      <c r="L37" s="33" t="n">
        <v>46301</v>
      </c>
      <c r="M37" s="33" t="n">
        <v>46312</v>
      </c>
    </row>
    <row r="38" s="16">
      <c r="A38" s="24">
        <f>"TASK-"&amp;TEXT(37,"000")</f>
        <v/>
      </c>
      <c r="B38" s="31" t="inlineStr">
        <is>
          <t>UC-029</t>
        </is>
      </c>
      <c r="C38" s="31" t="inlineStr">
        <is>
          <t>Practice test definition API</t>
        </is>
      </c>
      <c r="D38" s="31" t="inlineStr">
        <is>
          <t>Backend</t>
        </is>
      </c>
      <c r="E38" s="31" t="inlineStr">
        <is>
          <t>POST /assess/tests/practice with the allowlist derived from TEST_TYPE_CONFIG so it cannot drift from the engine.</t>
        </is>
      </c>
      <c r="F38" s="31" t="inlineStr">
        <is>
          <t>Given a valid exam and scope, when the endpoint is called, then a published test is created that any attempt flow can start.</t>
        </is>
      </c>
      <c r="G38" s="31" t="inlineStr">
        <is>
          <t>Sprint 1</t>
        </is>
      </c>
      <c r="H38" s="31" t="inlineStr">
        <is>
          <t>BE Dev</t>
        </is>
      </c>
      <c r="I38" s="32" t="n">
        <v>3</v>
      </c>
      <c r="J38" s="31" t="inlineStr">
        <is>
          <t>Medium</t>
        </is>
      </c>
      <c r="K38" s="31" t="inlineStr">
        <is>
          <t>Done</t>
        </is>
      </c>
      <c r="L38" s="33" t="n">
        <v>46273</v>
      </c>
      <c r="M38" s="33" t="n">
        <v>46277</v>
      </c>
    </row>
    <row r="39" s="16">
      <c r="A39" s="24">
        <f>"TASK-"&amp;TEXT(38,"000")</f>
        <v/>
      </c>
      <c r="B39" s="31" t="inlineStr">
        <is>
          <t>UC-023</t>
        </is>
      </c>
      <c r="C39" s="31" t="inlineStr">
        <is>
          <t>Live question availability while configuring</t>
        </is>
      </c>
      <c r="D39" s="31" t="inlineStr">
        <is>
          <t>Full-stack</t>
        </is>
      </c>
      <c r="E39" s="31" t="inlineStr">
        <is>
          <t>POST /assess/availability debounced from the configurator, surfaced by QuestionAvailabilityBanner.</t>
        </is>
      </c>
      <c r="F39" s="31" t="inlineStr">
        <is>
          <t>Given a config change, when the pool is short, then the banner warns before Start rather than after.</t>
        </is>
      </c>
      <c r="G39" s="31" t="inlineStr">
        <is>
          <t>Sprint 1</t>
        </is>
      </c>
      <c r="H39" s="31" t="inlineStr">
        <is>
          <t>Full-stack</t>
        </is>
      </c>
      <c r="I39" s="32" t="n">
        <v>5</v>
      </c>
      <c r="J39" s="31" t="inlineStr">
        <is>
          <t>High</t>
        </is>
      </c>
      <c r="K39" s="31" t="inlineStr">
        <is>
          <t>Done</t>
        </is>
      </c>
      <c r="L39" s="33" t="n">
        <v>46273</v>
      </c>
      <c r="M39" s="33" t="n">
        <v>46277</v>
      </c>
    </row>
    <row r="40" s="16">
      <c r="A40" s="24">
        <f>"TASK-"&amp;TEXT(39,"000")</f>
        <v/>
      </c>
      <c r="B40" s="31" t="inlineStr">
        <is>
          <t>UC-024</t>
        </is>
      </c>
      <c r="C40" s="31" t="inlineStr">
        <is>
          <t>Insufficient question pool dialog</t>
        </is>
      </c>
      <c r="D40" s="31" t="inlineStr">
        <is>
          <t>Frontend</t>
        </is>
      </c>
      <c r="E40" s="31" t="inlineStr">
        <is>
          <t>InsufficientQuestionsDialog covering the POOL-01..POOL-15 boundary cases in docs/TEST-CASES.md.</t>
        </is>
      </c>
      <c r="F40" s="31" t="inlineStr">
        <is>
          <t>Given a scope that is short, when the student starts, then no attempt row is created and the shortfall is spelled out.</t>
        </is>
      </c>
      <c r="G40" s="31" t="inlineStr">
        <is>
          <t>Sprint 1</t>
        </is>
      </c>
      <c r="H40" s="31" t="inlineStr">
        <is>
          <t>FE Dev</t>
        </is>
      </c>
      <c r="I40" s="32" t="n">
        <v>3</v>
      </c>
      <c r="J40" s="31" t="inlineStr">
        <is>
          <t>Critical</t>
        </is>
      </c>
      <c r="K40" s="31" t="inlineStr">
        <is>
          <t>Done</t>
        </is>
      </c>
      <c r="L40" s="33" t="n">
        <v>46273</v>
      </c>
      <c r="M40" s="33" t="n">
        <v>46277</v>
      </c>
    </row>
    <row r="41" s="16">
      <c r="A41" s="24">
        <f>"TASK-"&amp;TEXT(40,"000")</f>
        <v/>
      </c>
      <c r="B41" s="31" t="inlineStr">
        <is>
          <t>UC-030</t>
        </is>
      </c>
      <c r="C41" s="31" t="inlineStr">
        <is>
          <t>Pre-test system check</t>
        </is>
      </c>
      <c r="D41" s="31" t="inlineStr">
        <is>
          <t>Frontend</t>
        </is>
      </c>
      <c r="E41" s="31" t="inlineStr">
        <is>
          <t>SystemCheckView covering browser compatibility, network, display and memory before the exam screen.</t>
        </is>
      </c>
      <c r="F41" s="31" t="inlineStr">
        <is>
          <t>Given a failing check, when the student proceeds, then the specific failure is named and the entry is gated.</t>
        </is>
      </c>
      <c r="G41" s="31" t="inlineStr">
        <is>
          <t>Sprint 1</t>
        </is>
      </c>
      <c r="H41" s="31" t="inlineStr">
        <is>
          <t>FE Dev</t>
        </is>
      </c>
      <c r="I41" s="32" t="n">
        <v>3</v>
      </c>
      <c r="J41" s="31" t="inlineStr">
        <is>
          <t>Medium</t>
        </is>
      </c>
      <c r="K41" s="31" t="inlineStr">
        <is>
          <t>Done</t>
        </is>
      </c>
      <c r="L41" s="33" t="n">
        <v>46273</v>
      </c>
      <c r="M41" s="33" t="n">
        <v>46277</v>
      </c>
    </row>
    <row r="42" s="16">
      <c r="A42" s="24">
        <f>"TASK-"&amp;TEXT(41,"000")</f>
        <v/>
      </c>
      <c r="B42" s="31" t="inlineStr">
        <is>
          <t>UC-031</t>
        </is>
      </c>
      <c r="C42" s="31" t="inlineStr">
        <is>
          <t>Exam lobby with countdown and recycling disclosure</t>
        </is>
      </c>
      <c r="D42" s="31" t="inlineStr">
        <is>
          <t>Frontend</t>
        </is>
      </c>
      <c r="E42" s="31" t="inlineStr">
        <is>
          <t>LobbyView with the 30-second settle-in and the repeated-question disclosure required by docs/no-repeat-questions-fix.md Phase 5.</t>
        </is>
      </c>
      <c r="F42" s="31" t="inlineStr">
        <is>
          <t>Given a lobby entry, when the countdown ends, then the test opens and the disclosure has been shown.</t>
        </is>
      </c>
      <c r="G42" s="31" t="inlineStr">
        <is>
          <t>Sprint 1</t>
        </is>
      </c>
      <c r="H42" s="31" t="inlineStr">
        <is>
          <t>FE Dev</t>
        </is>
      </c>
      <c r="I42" s="32" t="n">
        <v>3</v>
      </c>
      <c r="J42" s="31" t="inlineStr">
        <is>
          <t>Medium</t>
        </is>
      </c>
      <c r="K42" s="31" t="inlineStr">
        <is>
          <t>Done</t>
        </is>
      </c>
      <c r="L42" s="33" t="n">
        <v>46273</v>
      </c>
      <c r="M42" s="33" t="n">
        <v>46277</v>
      </c>
    </row>
    <row r="43" s="16">
      <c r="A43" s="24">
        <f>"TASK-"&amp;TEXT(42,"000")</f>
        <v/>
      </c>
      <c r="B43" s="31" t="inlineStr">
        <is>
          <t>UC-032</t>
        </is>
      </c>
      <c r="C43" s="31" t="inlineStr">
        <is>
          <t>One active attempt per student</t>
        </is>
      </c>
      <c r="D43" s="31" t="inlineStr">
        <is>
          <t>Backend</t>
        </is>
      </c>
      <c r="E43" s="31" t="inlineStr">
        <is>
          <t>attempt-flow.startAttempt refusing a second concurrent attempt with ACTIVE_ATTEMPT_EXISTS wired into the resume prompt.</t>
        </is>
      </c>
      <c r="F43" s="31" t="inlineStr">
        <is>
          <t>Given an in-progress attempt, when another start is requested, then it is refused and the student is pointed at the live attempt.</t>
        </is>
      </c>
      <c r="G43" s="31" t="inlineStr">
        <is>
          <t>Sprint 1</t>
        </is>
      </c>
      <c r="H43" s="31" t="inlineStr">
        <is>
          <t>BE Dev</t>
        </is>
      </c>
      <c r="I43" s="32" t="n">
        <v>5</v>
      </c>
      <c r="J43" s="31" t="inlineStr">
        <is>
          <t>Critical</t>
        </is>
      </c>
      <c r="K43" s="31" t="inlineStr">
        <is>
          <t>Done</t>
        </is>
      </c>
      <c r="L43" s="33" t="n">
        <v>46273</v>
      </c>
      <c r="M43" s="33" t="n">
        <v>46277</v>
      </c>
    </row>
    <row r="44" s="16">
      <c r="A44" s="24">
        <f>"TASK-"&amp;TEXT(43,"000")</f>
        <v/>
      </c>
      <c r="B44" s="31" t="inlineStr">
        <is>
          <t>UC-032</t>
        </is>
      </c>
      <c r="C44" s="31" t="inlineStr">
        <is>
          <t>Thread the transaction client through assembleForAttempt (DB-01)</t>
        </is>
      </c>
      <c r="D44" s="31" t="inlineStr">
        <is>
          <t>Backend</t>
        </is>
      </c>
      <c r="E44" s="31" t="inlineStr">
        <is>
          <t>startAttempt calls assembleForAttempt inside its own transaction while assembly uses bare pool.query — four concurrent BLUEPRINT starts can deadlock the 4-connection pool, the same bug already fixed in loadSectionSchemes.</t>
        </is>
      </c>
      <c r="F44" s="31" t="inlineStr">
        <is>
          <t>Given four or more simultaneous starts on one test, when they run, then all complete and no backend sits idle in transaction.</t>
        </is>
      </c>
      <c r="G44" s="31" t="inlineStr">
        <is>
          <t>Sprint 1</t>
        </is>
      </c>
      <c r="H44" s="31" t="inlineStr">
        <is>
          <t>BE Dev</t>
        </is>
      </c>
      <c r="I44" s="32" t="n">
        <v>8</v>
      </c>
      <c r="J44" s="31" t="inlineStr">
        <is>
          <t>Critical</t>
        </is>
      </c>
      <c r="K44" s="31" t="inlineStr">
        <is>
          <t>To Do</t>
        </is>
      </c>
      <c r="L44" s="33" t="n">
        <v>46273</v>
      </c>
      <c r="M44" s="33" t="n">
        <v>46284</v>
      </c>
    </row>
    <row r="45" s="16">
      <c r="A45" s="24">
        <f>"TASK-"&amp;TEXT(44,"000")</f>
        <v/>
      </c>
      <c r="B45" s="31" t="inlineStr">
        <is>
          <t>UC-032</t>
        </is>
      </c>
      <c r="C45" s="31" t="inlineStr">
        <is>
          <t>Concurrent-start load test for the assembly path</t>
        </is>
      </c>
      <c r="D45" s="31" t="inlineStr">
        <is>
          <t>QA/Testing</t>
        </is>
      </c>
      <c r="E45" s="31" t="inlineStr">
        <is>
          <t>Extend concurrent-shared-pool.test.ts to cover startAttempt at 8+ real concurrent callers once DB-01 lands.</t>
        </is>
      </c>
      <c r="F45" s="31" t="inlineStr">
        <is>
          <t>Given eight concurrent starts, when the test runs, then every attempt gets its full distinct question set with no deadlock.</t>
        </is>
      </c>
      <c r="G45" s="31" t="inlineStr">
        <is>
          <t>Sprint 2</t>
        </is>
      </c>
      <c r="H45" s="31" t="inlineStr">
        <is>
          <t>QA</t>
        </is>
      </c>
      <c r="I45" s="32" t="n">
        <v>5</v>
      </c>
      <c r="J45" s="31" t="inlineStr">
        <is>
          <t>Critical</t>
        </is>
      </c>
      <c r="K45" s="31" t="inlineStr">
        <is>
          <t>To Do</t>
        </is>
      </c>
      <c r="L45" s="33" t="n">
        <v>46287</v>
      </c>
      <c r="M45" s="33" t="n">
        <v>46298</v>
      </c>
    </row>
    <row r="46" s="16">
      <c r="A46" s="24">
        <f>"TASK-"&amp;TEXT(45,"000")</f>
        <v/>
      </c>
      <c r="B46" s="31" t="inlineStr">
        <is>
          <t>UC-033</t>
        </is>
      </c>
      <c r="C46" s="31" t="inlineStr">
        <is>
          <t>Autosaved responses</t>
        </is>
      </c>
      <c r="D46" s="31" t="inlineStr">
        <is>
          <t>Backend</t>
        </is>
      </c>
      <c r="E46" s="31" t="inlineStr">
        <is>
          <t>saveResponse / batchSaveResponses behind requireAttemptOwnership, keeping the latest answer per question.</t>
        </is>
      </c>
      <c r="F46" s="31" t="inlineStr">
        <is>
          <t>Given an answer change, when the network drops before submit, then the last saved answer survives a reload.</t>
        </is>
      </c>
      <c r="G46" s="31" t="inlineStr">
        <is>
          <t>Sprint 1</t>
        </is>
      </c>
      <c r="H46" s="31" t="inlineStr">
        <is>
          <t>BE Dev</t>
        </is>
      </c>
      <c r="I46" s="32" t="n">
        <v>5</v>
      </c>
      <c r="J46" s="31" t="inlineStr">
        <is>
          <t>Critical</t>
        </is>
      </c>
      <c r="K46" s="31" t="inlineStr">
        <is>
          <t>Done</t>
        </is>
      </c>
      <c r="L46" s="33" t="n">
        <v>46273</v>
      </c>
      <c r="M46" s="33" t="n">
        <v>46277</v>
      </c>
    </row>
    <row r="47" s="16">
      <c r="A47" s="24">
        <f>"TASK-"&amp;TEXT(46,"000")</f>
        <v/>
      </c>
      <c r="B47" s="31" t="inlineStr">
        <is>
          <t>UC-034</t>
        </is>
      </c>
      <c r="C47" s="31" t="inlineStr">
        <is>
          <t>Question palette and mark-for-review</t>
        </is>
      </c>
      <c r="D47" s="31" t="inlineStr">
        <is>
          <t>Frontend</t>
        </is>
      </c>
      <c r="E47" s="31" t="inlineStr">
        <is>
          <t>TestTakingView orderQuestions() ordering by section and sequence, with an off-canvas palette on mobile.</t>
        </is>
      </c>
      <c r="F47" s="31" t="inlineStr">
        <is>
          <t>Given any question state, when the palette is opened, then every question is reachable and its state is visible at 390px and up.</t>
        </is>
      </c>
      <c r="G47" s="31" t="inlineStr">
        <is>
          <t>Sprint 1</t>
        </is>
      </c>
      <c r="H47" s="31" t="inlineStr">
        <is>
          <t>FE Dev</t>
        </is>
      </c>
      <c r="I47" s="32" t="n">
        <v>5</v>
      </c>
      <c r="J47" s="31" t="inlineStr">
        <is>
          <t>High</t>
        </is>
      </c>
      <c r="K47" s="31" t="inlineStr">
        <is>
          <t>Done</t>
        </is>
      </c>
      <c r="L47" s="33" t="n">
        <v>46273</v>
      </c>
      <c r="M47" s="33" t="n">
        <v>46277</v>
      </c>
    </row>
    <row r="48" s="16">
      <c r="A48" s="24">
        <f>"TASK-"&amp;TEXT(47,"000")</f>
        <v/>
      </c>
      <c r="B48" s="31" t="inlineStr">
        <is>
          <t>UC-034</t>
        </is>
      </c>
      <c r="C48" s="31" t="inlineStr">
        <is>
          <t>Trace the stray 'Case #12' label near the stem (DB-07)</t>
        </is>
      </c>
      <c r="D48" s="31" t="inlineStr">
        <is>
          <t>Frontend</t>
        </is>
      </c>
      <c r="E48" s="31" t="inlineStr">
        <is>
          <t>No published stem matches the reported pattern, so the label is almost certainly a counter or index leaking into the stem container — inspect the render path.</t>
        </is>
      </c>
      <c r="F48" s="31" t="inlineStr">
        <is>
          <t>Given the reported paper, when the question renders, then no counter label appears inside or adjacent to the stem text.</t>
        </is>
      </c>
      <c r="G48" s="31" t="inlineStr">
        <is>
          <t>Sprint 2</t>
        </is>
      </c>
      <c r="H48" s="31" t="inlineStr">
        <is>
          <t>FE Dev</t>
        </is>
      </c>
      <c r="I48" s="32" t="n">
        <v>3</v>
      </c>
      <c r="J48" s="31" t="inlineStr">
        <is>
          <t>Medium</t>
        </is>
      </c>
      <c r="K48" s="31" t="inlineStr">
        <is>
          <t>To Do</t>
        </is>
      </c>
      <c r="L48" s="33" t="n">
        <v>46287</v>
      </c>
      <c r="M48" s="33" t="n">
        <v>46298</v>
      </c>
    </row>
    <row r="49" s="16">
      <c r="A49" s="24">
        <f>"TASK-"&amp;TEXT(48,"000")</f>
        <v/>
      </c>
      <c r="B49" s="31" t="inlineStr">
        <is>
          <t>UC-035</t>
        </is>
      </c>
      <c r="C49" s="31" t="inlineStr">
        <is>
          <t>Countdown timer and auto-submit at zero</t>
        </is>
      </c>
      <c r="D49" s="31" t="inlineStr">
        <is>
          <t>Frontend</t>
        </is>
      </c>
      <c r="E49" s="31" t="inlineStr">
        <is>
          <t>TestTakingView timer with warning states and onCompleteTest firing the same submit path as the manual button (LOCK-18).</t>
        </is>
      </c>
      <c r="F49" s="31" t="inlineStr">
        <is>
          <t>Given the timer reaches zero, when auto-submit runs, then the attempt is scored and no further input is accepted.</t>
        </is>
      </c>
      <c r="G49" s="31" t="inlineStr">
        <is>
          <t>Sprint 1</t>
        </is>
      </c>
      <c r="H49" s="31" t="inlineStr">
        <is>
          <t>FE Dev</t>
        </is>
      </c>
      <c r="I49" s="32" t="n">
        <v>5</v>
      </c>
      <c r="J49" s="31" t="inlineStr">
        <is>
          <t>Critical</t>
        </is>
      </c>
      <c r="K49" s="31" t="inlineStr">
        <is>
          <t>Done</t>
        </is>
      </c>
      <c r="L49" s="33" t="n">
        <v>46273</v>
      </c>
      <c r="M49" s="33" t="n">
        <v>46277</v>
      </c>
    </row>
    <row r="50" s="16">
      <c r="A50" s="24">
        <f>"TASK-"&amp;TEXT(49,"000")</f>
        <v/>
      </c>
      <c r="B50" s="31" t="inlineStr">
        <is>
          <t>UC-036</t>
        </is>
      </c>
      <c r="C50" s="31" t="inlineStr">
        <is>
          <t>Exam lockdown: close out the LOCK-01..LOCK-20 list</t>
        </is>
      </c>
      <c r="D50" s="31" t="inlineStr">
        <is>
          <t>Frontend</t>
        </is>
      </c>
      <c r="E50" s="31" t="inlineStr">
        <is>
          <t>Back/forward interception, refresh confirmation, copy and context-menu suppression and the remaining automatable lockdown cases in docs/TEST-CASES.md Bucket 3.</t>
        </is>
      </c>
      <c r="F50" s="31" t="inlineStr">
        <is>
          <t>Given each automatable LOCK case, when the suite runs, then it passes; the manual-only cases are listed with evidence.</t>
        </is>
      </c>
      <c r="G50" s="31" t="inlineStr">
        <is>
          <t>Sprint 1</t>
        </is>
      </c>
      <c r="H50" s="31" t="inlineStr">
        <is>
          <t>FE Dev</t>
        </is>
      </c>
      <c r="I50" s="32" t="n">
        <v>8</v>
      </c>
      <c r="J50" s="31" t="inlineStr">
        <is>
          <t>High</t>
        </is>
      </c>
      <c r="K50" s="31" t="inlineStr">
        <is>
          <t>In Progress</t>
        </is>
      </c>
      <c r="L50" s="33" t="n">
        <v>46273</v>
      </c>
      <c r="M50" s="33" t="n">
        <v>46284</v>
      </c>
    </row>
    <row r="51" s="16">
      <c r="A51" s="24">
        <f>"TASK-"&amp;TEXT(50,"000")</f>
        <v/>
      </c>
      <c r="B51" s="31" t="inlineStr">
        <is>
          <t>UC-036</t>
        </is>
      </c>
      <c r="C51" s="31" t="inlineStr">
        <is>
          <t>Manual lockdown pass on mobile</t>
        </is>
      </c>
      <c r="D51" s="31" t="inlineStr">
        <is>
          <t>QA/Testing</t>
        </is>
      </c>
      <c r="E51" s="31" t="inlineStr">
        <is>
          <t>Run the manual-only LOCK mobile variants on real devices, recording evidence per case.</t>
        </is>
      </c>
      <c r="F51" s="31" t="inlineStr">
        <is>
          <t>Given each mobile LOCK case, when it is exercised on a real device, then the observed behaviour is recorded pass or fail.</t>
        </is>
      </c>
      <c r="G51" s="31" t="inlineStr">
        <is>
          <t>Sprint 2</t>
        </is>
      </c>
      <c r="H51" s="31" t="inlineStr">
        <is>
          <t>QA</t>
        </is>
      </c>
      <c r="I51" s="32" t="n">
        <v>5</v>
      </c>
      <c r="J51" s="31" t="inlineStr">
        <is>
          <t>High</t>
        </is>
      </c>
      <c r="K51" s="31" t="inlineStr">
        <is>
          <t>To Do</t>
        </is>
      </c>
      <c r="L51" s="33" t="n">
        <v>46287</v>
      </c>
      <c r="M51" s="33" t="n">
        <v>46298</v>
      </c>
    </row>
    <row r="52" s="16">
      <c r="A52" s="24">
        <f>"TASK-"&amp;TEXT(51,"000")</f>
        <v/>
      </c>
      <c r="B52" s="31" t="inlineStr">
        <is>
          <t>UC-037</t>
        </is>
      </c>
      <c r="C52" s="31" t="inlineStr">
        <is>
          <t>Attempt integrity event trail</t>
        </is>
      </c>
      <c r="D52" s="31" t="inlineStr">
        <is>
          <t>Backend</t>
        </is>
      </c>
      <c r="E52" s="31" t="inlineStr">
        <is>
          <t>postEvent / getEvents recording blur, focus and fullscreen-exit as an append-only trail per attempt (LOCK-06).</t>
        </is>
      </c>
      <c r="F52" s="31" t="inlineStr">
        <is>
          <t>Given a tab switch mid-attempt, when the attempt is inspected, then the event is present with its timestamp.</t>
        </is>
      </c>
      <c r="G52" s="31" t="inlineStr">
        <is>
          <t>Sprint 1</t>
        </is>
      </c>
      <c r="H52" s="31" t="inlineStr">
        <is>
          <t>BE Dev</t>
        </is>
      </c>
      <c r="I52" s="32" t="n">
        <v>3</v>
      </c>
      <c r="J52" s="31" t="inlineStr">
        <is>
          <t>Medium</t>
        </is>
      </c>
      <c r="K52" s="31" t="inlineStr">
        <is>
          <t>Done</t>
        </is>
      </c>
      <c r="L52" s="33" t="n">
        <v>46273</v>
      </c>
      <c r="M52" s="33" t="n">
        <v>46277</v>
      </c>
    </row>
    <row r="53" s="16">
      <c r="A53" s="24">
        <f>"TASK-"&amp;TEXT(52,"000")</f>
        <v/>
      </c>
      <c r="B53" s="31" t="inlineStr">
        <is>
          <t>UC-038</t>
        </is>
      </c>
      <c r="C53" s="31" t="inlineStr">
        <is>
          <t>Pause an attempt with the clock frozen</t>
        </is>
      </c>
      <c r="D53" s="31" t="inlineStr">
        <is>
          <t>Backend</t>
        </is>
      </c>
      <c r="E53" s="31" t="inlineStr">
        <is>
          <t>attempt-flow.pauseAttempt with envelope referenceNowMs freezing the clock so viewing progress costs no time.</t>
        </is>
      </c>
      <c r="F53" s="31" t="inlineStr">
        <is>
          <t>Given a pause, when the attempt is reopened later, then the remaining time is exactly what it was at pause.</t>
        </is>
      </c>
      <c r="G53" s="31" t="inlineStr">
        <is>
          <t>Sprint 1</t>
        </is>
      </c>
      <c r="H53" s="31" t="inlineStr">
        <is>
          <t>BE Dev</t>
        </is>
      </c>
      <c r="I53" s="32" t="n">
        <v>3</v>
      </c>
      <c r="J53" s="31" t="inlineStr">
        <is>
          <t>High</t>
        </is>
      </c>
      <c r="K53" s="31" t="inlineStr">
        <is>
          <t>Done</t>
        </is>
      </c>
      <c r="L53" s="33" t="n">
        <v>46273</v>
      </c>
      <c r="M53" s="33" t="n">
        <v>46277</v>
      </c>
    </row>
    <row r="54" s="16">
      <c r="A54" s="24">
        <f>"TASK-"&amp;TEXT(53,"000")</f>
        <v/>
      </c>
      <c r="B54" s="31" t="inlineStr">
        <is>
          <t>UC-039</t>
        </is>
      </c>
      <c r="C54" s="31" t="inlineStr">
        <is>
          <t>Resume a paused attempt</t>
        </is>
      </c>
      <c r="D54" s="31" t="inlineStr">
        <is>
          <t>Frontend</t>
        </is>
      </c>
      <c r="E54" s="31" t="inlineStr">
        <is>
          <t>PausedAttemptPanel with Resume as the primary action and Submit demoted to secondary.</t>
        </is>
      </c>
      <c r="F54" s="31" t="inlineStr">
        <is>
          <t>Given a paused attempt, when Resume is clicked, then the same paper and remaining time return in progress.</t>
        </is>
      </c>
      <c r="G54" s="31" t="inlineStr">
        <is>
          <t>Sprint 1</t>
        </is>
      </c>
      <c r="H54" s="31" t="inlineStr">
        <is>
          <t>FE Dev</t>
        </is>
      </c>
      <c r="I54" s="32" t="n">
        <v>3</v>
      </c>
      <c r="J54" s="31" t="inlineStr">
        <is>
          <t>High</t>
        </is>
      </c>
      <c r="K54" s="31" t="inlineStr">
        <is>
          <t>Done</t>
        </is>
      </c>
      <c r="L54" s="33" t="n">
        <v>46273</v>
      </c>
      <c r="M54" s="33" t="n">
        <v>46277</v>
      </c>
    </row>
    <row r="55" s="16">
      <c r="A55" s="24">
        <f>"TASK-"&amp;TEXT(54,"000")</f>
        <v/>
      </c>
      <c r="B55" s="31" t="inlineStr">
        <is>
          <t>UC-040</t>
        </is>
      </c>
      <c r="C55" s="31" t="inlineStr">
        <is>
          <t>Recover an in-progress attempt after a refresh or crash</t>
        </is>
      </c>
      <c r="D55" s="31" t="inlineStr">
        <is>
          <t>Frontend</t>
        </is>
      </c>
      <c r="E55" s="31" t="inlineStr">
        <is>
          <t>useResumableAttempt restoring the live attempt on load (LOCK-05, BUG-03/BUG-06).</t>
        </is>
      </c>
      <c r="F55" s="31" t="inlineStr">
        <is>
          <t>Given a mid-test reload, when the app boots, then the student lands back on the same paper with saved answers intact.</t>
        </is>
      </c>
      <c r="G55" s="31" t="inlineStr">
        <is>
          <t>Sprint 1</t>
        </is>
      </c>
      <c r="H55" s="31" t="inlineStr">
        <is>
          <t>FE Dev</t>
        </is>
      </c>
      <c r="I55" s="32" t="n">
        <v>5</v>
      </c>
      <c r="J55" s="31" t="inlineStr">
        <is>
          <t>Critical</t>
        </is>
      </c>
      <c r="K55" s="31" t="inlineStr">
        <is>
          <t>Done</t>
        </is>
      </c>
      <c r="L55" s="33" t="n">
        <v>46273</v>
      </c>
      <c r="M55" s="33" t="n">
        <v>46277</v>
      </c>
    </row>
    <row r="56" s="16">
      <c r="A56" s="24">
        <f>"TASK-"&amp;TEXT(55,"000")</f>
        <v/>
      </c>
      <c r="B56" s="31" t="inlineStr">
        <is>
          <t>UC-042</t>
        </is>
      </c>
      <c r="C56" s="31" t="inlineStr">
        <is>
          <t>No repeated questions inside or across attempts</t>
        </is>
      </c>
      <c r="D56" s="31" t="inlineStr">
        <is>
          <t>Backend</t>
        </is>
      </c>
      <c r="E56" s="31" t="inlineStr">
        <is>
          <t>content_fp-protected blueprint assembly plus the exposure ledger, covered by REP-01..REP-25.</t>
        </is>
      </c>
      <c r="F56" s="31" t="inlineStr">
        <is>
          <t>Given repeated attempts on one scope, when papers are assembled, then no question repeats inside an attempt and repeats across attempts stay inside the policy window.</t>
        </is>
      </c>
      <c r="G56" s="31" t="inlineStr">
        <is>
          <t>Sprint 1</t>
        </is>
      </c>
      <c r="H56" s="31" t="inlineStr">
        <is>
          <t>BE Dev</t>
        </is>
      </c>
      <c r="I56" s="32" t="n">
        <v>8</v>
      </c>
      <c r="J56" s="31" t="inlineStr">
        <is>
          <t>Critical</t>
        </is>
      </c>
      <c r="K56" s="31" t="inlineStr">
        <is>
          <t>Done</t>
        </is>
      </c>
      <c r="L56" s="33" t="n">
        <v>46273</v>
      </c>
      <c r="M56" s="33" t="n">
        <v>46277</v>
      </c>
    </row>
    <row r="57" s="16">
      <c r="A57" s="24">
        <f>"TASK-"&amp;TEXT(56,"000")</f>
        <v/>
      </c>
      <c r="B57" s="31" t="inlineStr">
        <is>
          <t>UC-042</t>
        </is>
      </c>
      <c r="C57" s="31" t="inlineStr">
        <is>
          <t>Decide hard vs soft anti-repeat window (REP-13)</t>
        </is>
      </c>
      <c r="D57" s="31" t="inlineStr">
        <is>
          <t>Backend</t>
        </is>
      </c>
      <c r="E57" s="31" t="inlineStr">
        <is>
          <t>REP-13 records an open policy question: a hard block on recently-seen items versus a soft de-prioritisation when the pool is thin.</t>
        </is>
      </c>
      <c r="F57" s="31" t="inlineStr">
        <is>
          <t>Given a thin pool, when the policy is applied, then the chosen behaviour is documented, implemented and covered by a test.</t>
        </is>
      </c>
      <c r="G57" s="31" t="inlineStr">
        <is>
          <t>Sprint 3</t>
        </is>
      </c>
      <c r="H57" s="31" t="inlineStr">
        <is>
          <t>BE Dev</t>
        </is>
      </c>
      <c r="I57" s="32" t="n">
        <v>5</v>
      </c>
      <c r="J57" s="31" t="inlineStr">
        <is>
          <t>High</t>
        </is>
      </c>
      <c r="K57" s="31" t="inlineStr">
        <is>
          <t>To Do</t>
        </is>
      </c>
      <c r="L57" s="33" t="n">
        <v>46301</v>
      </c>
      <c r="M57" s="33" t="n">
        <v>46312</v>
      </c>
    </row>
    <row r="58" s="16">
      <c r="A58" s="24">
        <f>"TASK-"&amp;TEXT(57,"000")</f>
        <v/>
      </c>
      <c r="B58" s="31" t="inlineStr">
        <is>
          <t>UC-041</t>
        </is>
      </c>
      <c r="C58" s="31" t="inlineStr">
        <is>
          <t>Server-side scoring on submit</t>
        </is>
      </c>
      <c r="D58" s="31" t="inlineStr">
        <is>
          <t>Backend</t>
        </is>
      </c>
      <c r="E58" s="31" t="inlineStr">
        <is>
          <t>attempt-flow.submitAttempt with db/assess/scoring, and EvaluatingView showing real progress rather than a simulation.</t>
        </is>
      </c>
      <c r="F58" s="31" t="inlineStr">
        <is>
          <t>Given a submitted attempt, when scoring completes, then marks come only from the server and match the marking scheme.</t>
        </is>
      </c>
      <c r="G58" s="31" t="inlineStr">
        <is>
          <t>Sprint 1</t>
        </is>
      </c>
      <c r="H58" s="31" t="inlineStr">
        <is>
          <t>BE Dev</t>
        </is>
      </c>
      <c r="I58" s="32" t="n">
        <v>8</v>
      </c>
      <c r="J58" s="31" t="inlineStr">
        <is>
          <t>Critical</t>
        </is>
      </c>
      <c r="K58" s="31" t="inlineStr">
        <is>
          <t>Done</t>
        </is>
      </c>
      <c r="L58" s="33" t="n">
        <v>46273</v>
      </c>
      <c r="M58" s="33" t="n">
        <v>46277</v>
      </c>
    </row>
    <row r="59" s="16">
      <c r="A59" s="24">
        <f>"TASK-"&amp;TEXT(58,"000")</f>
        <v/>
      </c>
      <c r="B59" s="31" t="inlineStr">
        <is>
          <t>UC-043</t>
        </is>
      </c>
      <c r="C59" s="31" t="inlineStr">
        <is>
          <t>Scorecard immediately after submit</t>
        </is>
      </c>
      <c r="D59" s="31" t="inlineStr">
        <is>
          <t>Frontend</t>
        </is>
      </c>
      <c r="E59" s="31" t="inlineStr">
        <is>
          <t>getScorecard with DashboardView formatMarks rendering the result as soon as scoring returns.</t>
        </is>
      </c>
      <c r="F59" s="31" t="inlineStr">
        <is>
          <t>Given a completed attempt, when scoring finishes, then the scorecard renders with score, accuracy and time.</t>
        </is>
      </c>
      <c r="G59" s="31" t="inlineStr">
        <is>
          <t>Sprint 1</t>
        </is>
      </c>
      <c r="H59" s="31" t="inlineStr">
        <is>
          <t>FE Dev</t>
        </is>
      </c>
      <c r="I59" s="32" t="n">
        <v>3</v>
      </c>
      <c r="J59" s="31" t="inlineStr">
        <is>
          <t>Critical</t>
        </is>
      </c>
      <c r="K59" s="31" t="inlineStr">
        <is>
          <t>Done</t>
        </is>
      </c>
      <c r="L59" s="33" t="n">
        <v>46273</v>
      </c>
      <c r="M59" s="33" t="n">
        <v>46277</v>
      </c>
    </row>
    <row r="60" s="16">
      <c r="A60" s="24">
        <f>"TASK-"&amp;TEXT(59,"000")</f>
        <v/>
      </c>
      <c r="B60" s="31" t="inlineStr">
        <is>
          <t>UC-044</t>
        </is>
      </c>
      <c r="C60" s="31" t="inlineStr">
        <is>
          <t>Results history</t>
        </is>
      </c>
      <c r="D60" s="31" t="inlineStr">
        <is>
          <t>Frontend</t>
        </is>
      </c>
      <c r="E60" s="31" t="inlineStr">
        <is>
          <t>MyResultsView over listOwnAttempts with search and filters.</t>
        </is>
      </c>
      <c r="F60" s="31" t="inlineStr">
        <is>
          <t>Given past attempts, when My Results is opened, then the server list renders with per-attempt entry points.</t>
        </is>
      </c>
      <c r="G60" s="31" t="inlineStr">
        <is>
          <t>Sprint 1</t>
        </is>
      </c>
      <c r="H60" s="31" t="inlineStr">
        <is>
          <t>FE Dev</t>
        </is>
      </c>
      <c r="I60" s="32" t="n">
        <v>5</v>
      </c>
      <c r="J60" s="31" t="inlineStr">
        <is>
          <t>High</t>
        </is>
      </c>
      <c r="K60" s="31" t="inlineStr">
        <is>
          <t>Done</t>
        </is>
      </c>
      <c r="L60" s="33" t="n">
        <v>46273</v>
      </c>
      <c r="M60" s="33" t="n">
        <v>46277</v>
      </c>
    </row>
    <row r="61" s="16">
      <c r="A61" s="24">
        <f>"TASK-"&amp;TEXT(60,"000")</f>
        <v/>
      </c>
      <c r="B61" s="31" t="inlineStr">
        <is>
          <t>UC-044</t>
        </is>
      </c>
      <c r="C61" s="31" t="inlineStr">
        <is>
          <t>Replace the ephemeral attempts array with server data (DB-03)</t>
        </is>
      </c>
      <c r="D61" s="31" t="inlineStr">
        <is>
          <t>Frontend</t>
        </is>
      </c>
      <c r="E61" s="31" t="inlineStr">
        <is>
          <t>App.tsx's client-only attempts state still backs TestListView's recent-attempts strip and the daily-reminder check, so both go stale after a fresh login.</t>
        </is>
      </c>
      <c r="F61" s="31" t="inlineStr">
        <is>
          <t>Given a fresh login on a new device, when the dashboard and Tests screens load, then both read real server history.</t>
        </is>
      </c>
      <c r="G61" s="31" t="inlineStr">
        <is>
          <t>Sprint 1</t>
        </is>
      </c>
      <c r="H61" s="31" t="inlineStr">
        <is>
          <t>FE Dev</t>
        </is>
      </c>
      <c r="I61" s="32" t="n">
        <v>8</v>
      </c>
      <c r="J61" s="31" t="inlineStr">
        <is>
          <t>High</t>
        </is>
      </c>
      <c r="K61" s="31" t="inlineStr">
        <is>
          <t>To Do</t>
        </is>
      </c>
      <c r="L61" s="33" t="n">
        <v>46273</v>
      </c>
      <c r="M61" s="33" t="n">
        <v>46284</v>
      </c>
    </row>
    <row r="62" s="16">
      <c r="A62" s="24">
        <f>"TASK-"&amp;TEXT(61,"000")</f>
        <v/>
      </c>
      <c r="B62" s="31" t="inlineStr">
        <is>
          <t>UC-045</t>
        </is>
      </c>
      <c r="C62" s="31" t="inlineStr">
        <is>
          <t>Question-by-question attempt review</t>
        </is>
      </c>
      <c r="D62" s="31" t="inlineStr">
        <is>
          <t>Frontend</t>
        </is>
      </c>
      <c r="E62" s="31" t="inlineStr">
        <is>
          <t>AttemptReviewView showing the student answer, correct answer, explanation and time per question.</t>
        </is>
      </c>
      <c r="F62" s="31" t="inlineStr">
        <is>
          <t>Given a scored attempt, when review is opened, then every question shows both answers and time spent.</t>
        </is>
      </c>
      <c r="G62" s="31" t="inlineStr">
        <is>
          <t>Sprint 1</t>
        </is>
      </c>
      <c r="H62" s="31" t="inlineStr">
        <is>
          <t>FE Dev</t>
        </is>
      </c>
      <c r="I62" s="32" t="n">
        <v>5</v>
      </c>
      <c r="J62" s="31" t="inlineStr">
        <is>
          <t>High</t>
        </is>
      </c>
      <c r="K62" s="31" t="inlineStr">
        <is>
          <t>Done</t>
        </is>
      </c>
      <c r="L62" s="33" t="n">
        <v>46273</v>
      </c>
      <c r="M62" s="33" t="n">
        <v>46277</v>
      </c>
    </row>
    <row r="63" s="16">
      <c r="A63" s="24">
        <f>"TASK-"&amp;TEXT(62,"000")</f>
        <v/>
      </c>
      <c r="B63" s="31" t="inlineStr">
        <is>
          <t>UC-046</t>
        </is>
      </c>
      <c r="C63" s="31" t="inlineStr">
        <is>
          <t>IRT ability estimate</t>
        </is>
      </c>
      <c r="D63" s="31" t="inlineStr">
        <is>
          <t>Backend</t>
        </is>
      </c>
      <c r="E63" s="31" t="inlineStr">
        <is>
          <t>getIrtReportHandler with IrtSection rendering the ability estimate alongside the raw score.</t>
        </is>
      </c>
      <c r="F63" s="31" t="inlineStr">
        <is>
          <t>Given a scored attempt, when the report is opened, then the ability estimate and its confidence band are shown.</t>
        </is>
      </c>
      <c r="G63" s="31" t="inlineStr">
        <is>
          <t>Sprint 1</t>
        </is>
      </c>
      <c r="H63" s="31" t="inlineStr">
        <is>
          <t>BE Dev</t>
        </is>
      </c>
      <c r="I63" s="32" t="n">
        <v>5</v>
      </c>
      <c r="J63" s="31" t="inlineStr">
        <is>
          <t>Medium</t>
        </is>
      </c>
      <c r="K63" s="31" t="inlineStr">
        <is>
          <t>Done</t>
        </is>
      </c>
      <c r="L63" s="33" t="n">
        <v>46273</v>
      </c>
      <c r="M63" s="33" t="n">
        <v>46277</v>
      </c>
    </row>
    <row r="64" s="16">
      <c r="A64" s="24">
        <f>"TASK-"&amp;TEXT(63,"000")</f>
        <v/>
      </c>
      <c r="B64" s="31" t="inlineStr">
        <is>
          <t>UC-047</t>
        </is>
      </c>
      <c r="C64" s="31" t="inlineStr">
        <is>
          <t>Cohort comparison</t>
        </is>
      </c>
      <c r="D64" s="31" t="inlineStr">
        <is>
          <t>Backend</t>
        </is>
      </c>
      <c r="E64" s="31" t="inlineStr">
        <is>
          <t>getCohortComparisonHandler placing the student's score against the cohort distribution.</t>
        </is>
      </c>
      <c r="F64" s="31" t="inlineStr">
        <is>
          <t>Given enough cohort data, when the result is opened, then percentile and cohort average are shown.</t>
        </is>
      </c>
      <c r="G64" s="31" t="inlineStr">
        <is>
          <t>Sprint 1</t>
        </is>
      </c>
      <c r="H64" s="31" t="inlineStr">
        <is>
          <t>BE Dev</t>
        </is>
      </c>
      <c r="I64" s="32" t="n">
        <v>3</v>
      </c>
      <c r="J64" s="31" t="inlineStr">
        <is>
          <t>Medium</t>
        </is>
      </c>
      <c r="K64" s="31" t="inlineStr">
        <is>
          <t>Done</t>
        </is>
      </c>
      <c r="L64" s="33" t="n">
        <v>46273</v>
      </c>
      <c r="M64" s="33" t="n">
        <v>46277</v>
      </c>
    </row>
    <row r="65" s="16">
      <c r="A65" s="24">
        <f>"TASK-"&amp;TEXT(64,"000")</f>
        <v/>
      </c>
      <c r="B65" s="31" t="inlineStr">
        <is>
          <t>UC-049</t>
        </is>
      </c>
      <c r="C65" s="31" t="inlineStr">
        <is>
          <t>Branded PDF report export</t>
        </is>
      </c>
      <c r="D65" s="31" t="inlineStr">
        <is>
          <t>Frontend</t>
        </is>
      </c>
      <c r="E65" s="31" t="inlineStr">
        <is>
          <t>services/pdfExport.ts with ReportBrandHeader and ReportSummary, lazily loaded so recharts and jsPDF stay out of the initial bundle.</t>
        </is>
      </c>
      <c r="F65" s="31" t="inlineStr">
        <is>
          <t>Given a report, when Download PDF is used, then a branded PDF is produced and the initial bundle is unchanged.</t>
        </is>
      </c>
      <c r="G65" s="31" t="inlineStr">
        <is>
          <t>Sprint 1</t>
        </is>
      </c>
      <c r="H65" s="31" t="inlineStr">
        <is>
          <t>FE Dev</t>
        </is>
      </c>
      <c r="I65" s="32" t="n">
        <v>5</v>
      </c>
      <c r="J65" s="31" t="inlineStr">
        <is>
          <t>Medium</t>
        </is>
      </c>
      <c r="K65" s="31" t="inlineStr">
        <is>
          <t>Done</t>
        </is>
      </c>
      <c r="L65" s="33" t="n">
        <v>46273</v>
      </c>
      <c r="M65" s="33" t="n">
        <v>46277</v>
      </c>
    </row>
    <row r="66" s="16">
      <c r="A66" s="24">
        <f>"TASK-"&amp;TEXT(65,"000")</f>
        <v/>
      </c>
      <c r="B66" s="31" t="inlineStr">
        <is>
          <t>UC-050</t>
        </is>
      </c>
      <c r="C66" s="31" t="inlineStr">
        <is>
          <t>Share a scorecard</t>
        </is>
      </c>
      <c r="D66" s="31" t="inlineStr">
        <is>
          <t>Frontend</t>
        </is>
      </c>
      <c r="E66" s="31" t="inlineStr">
        <is>
          <t>services/shareScorecard.ts with idle / working / done / failed states on the dashboard control.</t>
        </is>
      </c>
      <c r="F66" s="31" t="inlineStr">
        <is>
          <t>Given a scorecard, when Share is used, then the share completes or fails with an explicit state, never silently.</t>
        </is>
      </c>
      <c r="G66" s="31" t="inlineStr">
        <is>
          <t>Sprint 1</t>
        </is>
      </c>
      <c r="H66" s="31" t="inlineStr">
        <is>
          <t>FE Dev</t>
        </is>
      </c>
      <c r="I66" s="32" t="n">
        <v>2</v>
      </c>
      <c r="J66" s="31" t="inlineStr">
        <is>
          <t>Low</t>
        </is>
      </c>
      <c r="K66" s="31" t="inlineStr">
        <is>
          <t>Done</t>
        </is>
      </c>
      <c r="L66" s="33" t="n">
        <v>46273</v>
      </c>
      <c r="M66" s="33" t="n">
        <v>46277</v>
      </c>
    </row>
    <row r="67" s="16">
      <c r="A67" s="24">
        <f>"TASK-"&amp;TEXT(66,"000")</f>
        <v/>
      </c>
      <c r="B67" s="31" t="inlineStr">
        <is>
          <t>UC-048</t>
        </is>
      </c>
      <c r="C67" s="31" t="inlineStr">
        <is>
          <t>Performance analytics dashboard</t>
        </is>
      </c>
      <c r="D67" s="31" t="inlineStr">
        <is>
          <t>Full-stack</t>
        </is>
      </c>
      <c r="E67" s="31" t="inlineStr">
        <is>
          <t>AnalyticsView with useDashboardAnalytics over analyticsController.getDashboard, covering trends and weak areas.</t>
        </is>
      </c>
      <c r="F67" s="31" t="inlineStr">
        <is>
          <t>Given several attempts, when Analytics is opened, then trend, subject split and weak areas render from one server call.</t>
        </is>
      </c>
      <c r="G67" s="31" t="inlineStr">
        <is>
          <t>Sprint 1</t>
        </is>
      </c>
      <c r="H67" s="31" t="inlineStr">
        <is>
          <t>Full-stack</t>
        </is>
      </c>
      <c r="I67" s="32" t="n">
        <v>8</v>
      </c>
      <c r="J67" s="31" t="inlineStr">
        <is>
          <t>High</t>
        </is>
      </c>
      <c r="K67" s="31" t="inlineStr">
        <is>
          <t>Done</t>
        </is>
      </c>
      <c r="L67" s="33" t="n">
        <v>46273</v>
      </c>
      <c r="M67" s="33" t="n">
        <v>46277</v>
      </c>
    </row>
    <row r="68" s="16">
      <c r="A68" s="24">
        <f>"TASK-"&amp;TEXT(67,"000")</f>
        <v/>
      </c>
      <c r="B68" s="31" t="inlineStr">
        <is>
          <t>UC-048</t>
        </is>
      </c>
      <c r="C68" s="31" t="inlineStr">
        <is>
          <t>Subject-level drill-down in analytics</t>
        </is>
      </c>
      <c r="D68" s="31" t="inlineStr">
        <is>
          <t>Frontend</t>
        </is>
      </c>
      <c r="E68" s="31" t="inlineStr">
        <is>
          <t>Let a student open a subject from the analytics summary and see chapter-level accuracy behind it.</t>
        </is>
      </c>
      <c r="F68" s="31" t="inlineStr">
        <is>
          <t>Given a subject tile, when it is opened, then chapter-level accuracy and attempt counts render for that subject.</t>
        </is>
      </c>
      <c r="G68" s="31" t="inlineStr">
        <is>
          <t>Sprint 4</t>
        </is>
      </c>
      <c r="H68" s="31" t="inlineStr">
        <is>
          <t>FE Dev</t>
        </is>
      </c>
      <c r="I68" s="32" t="n">
        <v>5</v>
      </c>
      <c r="J68" s="31" t="inlineStr">
        <is>
          <t>Medium</t>
        </is>
      </c>
      <c r="K68" s="31" t="inlineStr">
        <is>
          <t>To Do</t>
        </is>
      </c>
      <c r="L68" s="33" t="n">
        <v>46315</v>
      </c>
      <c r="M68" s="33" t="n">
        <v>46326</v>
      </c>
    </row>
    <row r="69" s="16">
      <c r="A69" s="24">
        <f>"TASK-"&amp;TEXT(68,"000")</f>
        <v/>
      </c>
      <c r="B69" s="31" t="inlineStr">
        <is>
          <t>UC-051</t>
        </is>
      </c>
      <c r="C69" s="31" t="inlineStr">
        <is>
          <t>Create and save a study plan</t>
        </is>
      </c>
      <c r="D69" s="31" t="inlineStr">
        <is>
          <t>Backend</t>
        </is>
      </c>
      <c r="E69" s="31" t="inlineStr">
        <is>
          <t>studyPlanFlowController with 'me' and 'reset' registered before the generic CRUD router (BUG-19).</t>
        </is>
      </c>
      <c r="F69" s="31" t="inlineStr">
        <is>
          <t>Given a target date, when the plan is created, then it is persisted and returned by GET /study-plans/me.</t>
        </is>
      </c>
      <c r="G69" s="31" t="inlineStr">
        <is>
          <t>Sprint 1</t>
        </is>
      </c>
      <c r="H69" s="31" t="inlineStr">
        <is>
          <t>BE Dev</t>
        </is>
      </c>
      <c r="I69" s="32" t="n">
        <v>5</v>
      </c>
      <c r="J69" s="31" t="inlineStr">
        <is>
          <t>High</t>
        </is>
      </c>
      <c r="K69" s="31" t="inlineStr">
        <is>
          <t>Done</t>
        </is>
      </c>
      <c r="L69" s="33" t="n">
        <v>46273</v>
      </c>
      <c r="M69" s="33" t="n">
        <v>46277</v>
      </c>
    </row>
    <row r="70" s="16">
      <c r="A70" s="24">
        <f>"TASK-"&amp;TEXT(69,"000")</f>
        <v/>
      </c>
      <c r="B70" s="31" t="inlineStr">
        <is>
          <t>UC-052</t>
        </is>
      </c>
      <c r="C70" s="31" t="inlineStr">
        <is>
          <t>Study plan goal management</t>
        </is>
      </c>
      <c r="D70" s="31" t="inlineStr">
        <is>
          <t>Backend</t>
        </is>
      </c>
      <c r="E70" s="31" t="inlineStr">
        <is>
          <t>Add, edit, reorder and delete goals with requirePlanOwnership resolving ownership once per request.</t>
        </is>
      </c>
      <c r="F70" s="31" t="inlineStr">
        <is>
          <t>Given a plan, when goals are reordered or deleted, then the change persists and another student's plan is untouchable.</t>
        </is>
      </c>
      <c r="G70" s="31" t="inlineStr">
        <is>
          <t>Sprint 1</t>
        </is>
      </c>
      <c r="H70" s="31" t="inlineStr">
        <is>
          <t>BE Dev</t>
        </is>
      </c>
      <c r="I70" s="32" t="n">
        <v>5</v>
      </c>
      <c r="J70" s="31" t="inlineStr">
        <is>
          <t>High</t>
        </is>
      </c>
      <c r="K70" s="31" t="inlineStr">
        <is>
          <t>Done</t>
        </is>
      </c>
      <c r="L70" s="33" t="n">
        <v>46273</v>
      </c>
      <c r="M70" s="33" t="n">
        <v>46277</v>
      </c>
    </row>
    <row r="71" s="16">
      <c r="A71" s="24">
        <f>"TASK-"&amp;TEXT(70,"000")</f>
        <v/>
      </c>
      <c r="B71" s="31" t="inlineStr">
        <is>
          <t>UC-053</t>
        </is>
      </c>
      <c r="C71" s="31" t="inlineStr">
        <is>
          <t>Plan task completion tracking</t>
        </is>
      </c>
      <c r="D71" s="31" t="inlineStr">
        <is>
          <t>Backend</t>
        </is>
      </c>
      <c r="E71" s="31" t="inlineStr">
        <is>
          <t>learnFlowController getPlanTasks / patchPlanTaskStatus.</t>
        </is>
      </c>
      <c r="F71" s="31" t="inlineStr">
        <is>
          <t>Given a plan task, when it is ticked, then the status persists and plan progress recomputes.</t>
        </is>
      </c>
      <c r="G71" s="31" t="inlineStr">
        <is>
          <t>Sprint 1</t>
        </is>
      </c>
      <c r="H71" s="31" t="inlineStr">
        <is>
          <t>BE Dev</t>
        </is>
      </c>
      <c r="I71" s="32" t="n">
        <v>3</v>
      </c>
      <c r="J71" s="31" t="inlineStr">
        <is>
          <t>Medium</t>
        </is>
      </c>
      <c r="K71" s="31" t="inlineStr">
        <is>
          <t>Done</t>
        </is>
      </c>
      <c r="L71" s="33" t="n">
        <v>46273</v>
      </c>
      <c r="M71" s="33" t="n">
        <v>46277</v>
      </c>
    </row>
    <row r="72" s="16">
      <c r="A72" s="24">
        <f>"TASK-"&amp;TEXT(71,"000")</f>
        <v/>
      </c>
      <c r="B72" s="31" t="inlineStr">
        <is>
          <t>UC-054</t>
        </is>
      </c>
      <c r="C72" s="31" t="inlineStr">
        <is>
          <t>Custom study tasks</t>
        </is>
      </c>
      <c r="D72" s="31" t="inlineStr">
        <is>
          <t>Backend</t>
        </is>
      </c>
      <c r="E72" s="31" t="inlineStr">
        <is>
          <t>learn.routes /custom-tasks backed by real tables (BUG-20/21/22 replaced the localStorage and missing-table paths).</t>
        </is>
      </c>
      <c r="F72" s="31" t="inlineStr">
        <is>
          <t>Given a custom task, when it is created, then it survives a reload and belongs only to its owner.</t>
        </is>
      </c>
      <c r="G72" s="31" t="inlineStr">
        <is>
          <t>Sprint 1</t>
        </is>
      </c>
      <c r="H72" s="31" t="inlineStr">
        <is>
          <t>BE Dev</t>
        </is>
      </c>
      <c r="I72" s="32" t="n">
        <v>3</v>
      </c>
      <c r="J72" s="31" t="inlineStr">
        <is>
          <t>Medium</t>
        </is>
      </c>
      <c r="K72" s="31" t="inlineStr">
        <is>
          <t>Done</t>
        </is>
      </c>
      <c r="L72" s="33" t="n">
        <v>46273</v>
      </c>
      <c r="M72" s="33" t="n">
        <v>46277</v>
      </c>
    </row>
    <row r="73" s="16">
      <c r="A73" s="24">
        <f>"TASK-"&amp;TEXT(72,"000")</f>
        <v/>
      </c>
      <c r="B73" s="31" t="inlineStr">
        <is>
          <t>UC-055</t>
        </is>
      </c>
      <c r="C73" s="31" t="inlineStr">
        <is>
          <t>Personal revision notes</t>
        </is>
      </c>
      <c r="D73" s="31" t="inlineStr">
        <is>
          <t>Full-stack</t>
        </is>
      </c>
      <c r="E73" s="31" t="inlineStr">
        <is>
          <t>learn.routes /revision-notes with services/revisionNotesApi.ts.</t>
        </is>
      </c>
      <c r="F73" s="31" t="inlineStr">
        <is>
          <t>Given a note against a chapter, when it is saved, then it is returned on the next visit for that student only.</t>
        </is>
      </c>
      <c r="G73" s="31" t="inlineStr">
        <is>
          <t>Sprint 1</t>
        </is>
      </c>
      <c r="H73" s="31" t="inlineStr">
        <is>
          <t>Full-stack</t>
        </is>
      </c>
      <c r="I73" s="32" t="n">
        <v>3</v>
      </c>
      <c r="J73" s="31" t="inlineStr">
        <is>
          <t>Medium</t>
        </is>
      </c>
      <c r="K73" s="31" t="inlineStr">
        <is>
          <t>Done</t>
        </is>
      </c>
      <c r="L73" s="33" t="n">
        <v>46273</v>
      </c>
      <c r="M73" s="33" t="n">
        <v>46277</v>
      </c>
    </row>
    <row r="74" s="16">
      <c r="A74" s="24">
        <f>"TASK-"&amp;TEXT(73,"000")</f>
        <v/>
      </c>
      <c r="B74" s="31" t="inlineStr">
        <is>
          <t>UC-056</t>
        </is>
      </c>
      <c r="C74" s="31" t="inlineStr">
        <is>
          <t>Daily flashcard review</t>
        </is>
      </c>
      <c r="D74" s="31" t="inlineStr">
        <is>
          <t>Frontend</t>
        </is>
      </c>
      <c r="E74" s="31" t="inlineStr">
        <is>
          <t>DailyFlashcard with getFlashcardReviews / postFlashcardReview behind requireDeckOwnership.</t>
        </is>
      </c>
      <c r="F74" s="31" t="inlineStr">
        <is>
          <t>Given a due card, when it is reviewed, then the review is recorded and the next due card is served.</t>
        </is>
      </c>
      <c r="G74" s="31" t="inlineStr">
        <is>
          <t>Sprint 1</t>
        </is>
      </c>
      <c r="H74" s="31" t="inlineStr">
        <is>
          <t>FE Dev</t>
        </is>
      </c>
      <c r="I74" s="32" t="n">
        <v>3</v>
      </c>
      <c r="J74" s="31" t="inlineStr">
        <is>
          <t>Medium</t>
        </is>
      </c>
      <c r="K74" s="31" t="inlineStr">
        <is>
          <t>Done</t>
        </is>
      </c>
      <c r="L74" s="33" t="n">
        <v>46273</v>
      </c>
      <c r="M74" s="33" t="n">
        <v>46277</v>
      </c>
    </row>
    <row r="75" s="16">
      <c r="A75" s="24">
        <f>"TASK-"&amp;TEXT(74,"000")</f>
        <v/>
      </c>
      <c r="B75" s="31" t="inlineStr">
        <is>
          <t>UC-057</t>
        </is>
      </c>
      <c r="C75" s="31" t="inlineStr">
        <is>
          <t>Focus sessions and study streak</t>
        </is>
      </c>
      <c r="D75" s="31" t="inlineStr">
        <is>
          <t>Frontend</t>
        </is>
      </c>
      <c r="E75" s="31" t="inlineStr">
        <is>
          <t>FocusMode and PomodoroTimer over pomodoroSessionsListRouter, with plain-language copy after the BUG-29 wording sweep.</t>
        </is>
      </c>
      <c r="F75" s="31" t="inlineStr">
        <is>
          <t>Given a completed focus session, when it is logged, then the streak updates and the copy contains no technical vocabulary.</t>
        </is>
      </c>
      <c r="G75" s="31" t="inlineStr">
        <is>
          <t>Sprint 1</t>
        </is>
      </c>
      <c r="H75" s="31" t="inlineStr">
        <is>
          <t>FE Dev</t>
        </is>
      </c>
      <c r="I75" s="32" t="n">
        <v>5</v>
      </c>
      <c r="J75" s="31" t="inlineStr">
        <is>
          <t>Medium</t>
        </is>
      </c>
      <c r="K75" s="31" t="inlineStr">
        <is>
          <t>Done</t>
        </is>
      </c>
      <c r="L75" s="33" t="n">
        <v>46273</v>
      </c>
      <c r="M75" s="33" t="n">
        <v>46277</v>
      </c>
    </row>
    <row r="76" s="16">
      <c r="A76" s="24">
        <f>"TASK-"&amp;TEXT(75,"000")</f>
        <v/>
      </c>
      <c r="B76" s="31" t="inlineStr">
        <is>
          <t>UC-060</t>
        </is>
      </c>
      <c r="C76" s="31" t="inlineStr">
        <is>
          <t>Auto-log wrong answers into the error log</t>
        </is>
      </c>
      <c r="D76" s="31" t="inlineStr">
        <is>
          <t>Backend</t>
        </is>
      </c>
      <c r="E76" s="31" t="inlineStr">
        <is>
          <t>Populate learn.error_log on submit so the mistake notebook has content; the CRUD route exists but nothing writes to it from the attempt flow.</t>
        </is>
      </c>
      <c r="F76" s="31" t="inlineStr">
        <is>
          <t>Given a submitted attempt with wrong answers, when scoring completes, then one error-log row exists per wrong question.</t>
        </is>
      </c>
      <c r="G76" s="31" t="inlineStr">
        <is>
          <t>Sprint 2</t>
        </is>
      </c>
      <c r="H76" s="31" t="inlineStr">
        <is>
          <t>BE Dev</t>
        </is>
      </c>
      <c r="I76" s="32" t="n">
        <v>5</v>
      </c>
      <c r="J76" s="31" t="inlineStr">
        <is>
          <t>Medium</t>
        </is>
      </c>
      <c r="K76" s="31" t="inlineStr">
        <is>
          <t>To Do</t>
        </is>
      </c>
      <c r="L76" s="33" t="n">
        <v>46287</v>
      </c>
      <c r="M76" s="33" t="n">
        <v>46298</v>
      </c>
    </row>
    <row r="77" s="16">
      <c r="A77" s="24">
        <f>"TASK-"&amp;TEXT(76,"000")</f>
        <v/>
      </c>
      <c r="B77" s="31" t="inlineStr">
        <is>
          <t>UC-060</t>
        </is>
      </c>
      <c r="C77" s="31" t="inlineStr">
        <is>
          <t>Mistake notebook screen</t>
        </is>
      </c>
      <c r="D77" s="31" t="inlineStr">
        <is>
          <t>Frontend</t>
        </is>
      </c>
      <c r="E77" s="31" t="inlineStr">
        <is>
          <t>First UI over learn.routes /error-log — no frontend screen calls it today.</t>
        </is>
      </c>
      <c r="F77" s="31" t="inlineStr">
        <is>
          <t>Given logged mistakes, when the notebook is opened, then they are listed by subject with a route back into the question.</t>
        </is>
      </c>
      <c r="G77" s="31" t="inlineStr">
        <is>
          <t>Sprint 2</t>
        </is>
      </c>
      <c r="H77" s="31" t="inlineStr">
        <is>
          <t>FE Dev</t>
        </is>
      </c>
      <c r="I77" s="32" t="n">
        <v>8</v>
      </c>
      <c r="J77" s="31" t="inlineStr">
        <is>
          <t>Medium</t>
        </is>
      </c>
      <c r="K77" s="31" t="inlineStr">
        <is>
          <t>To Do</t>
        </is>
      </c>
      <c r="L77" s="33" t="n">
        <v>46287</v>
      </c>
      <c r="M77" s="33" t="n">
        <v>46298</v>
      </c>
    </row>
    <row r="78" s="16">
      <c r="A78" s="24">
        <f>"TASK-"&amp;TEXT(77,"000")</f>
        <v/>
      </c>
      <c r="B78" s="31" t="inlineStr">
        <is>
          <t>UC-061</t>
        </is>
      </c>
      <c r="C78" s="31" t="inlineStr">
        <is>
          <t>Compute and persist topic mastery on submit</t>
        </is>
      </c>
      <c r="D78" s="31" t="inlineStr">
        <is>
          <t>Backend</t>
        </is>
      </c>
      <c r="E78" s="31" t="inlineStr">
        <is>
          <t>Write learn.topic_mastery from attempt results instead of deriving weak areas only inside the analytics dashboard.</t>
        </is>
      </c>
      <c r="F78" s="31" t="inlineStr">
        <is>
          <t>Given a submitted attempt, when scoring completes, then per-topic mastery rows are updated for that student.</t>
        </is>
      </c>
      <c r="G78" s="31" t="inlineStr">
        <is>
          <t>Sprint 3</t>
        </is>
      </c>
      <c r="H78" s="31" t="inlineStr">
        <is>
          <t>BE Dev</t>
        </is>
      </c>
      <c r="I78" s="32" t="n">
        <v>8</v>
      </c>
      <c r="J78" s="31" t="inlineStr">
        <is>
          <t>Medium</t>
        </is>
      </c>
      <c r="K78" s="31" t="inlineStr">
        <is>
          <t>To Do</t>
        </is>
      </c>
      <c r="L78" s="33" t="n">
        <v>46301</v>
      </c>
      <c r="M78" s="33" t="n">
        <v>46312</v>
      </c>
    </row>
    <row r="79" s="16">
      <c r="A79" s="24">
        <f>"TASK-"&amp;TEXT(78,"000")</f>
        <v/>
      </c>
      <c r="B79" s="31" t="inlineStr">
        <is>
          <t>UC-061</t>
        </is>
      </c>
      <c r="C79" s="31" t="inlineStr">
        <is>
          <t>Topic mastery screen</t>
        </is>
      </c>
      <c r="D79" s="31" t="inlineStr">
        <is>
          <t>Frontend</t>
        </is>
      </c>
      <c r="E79" s="31" t="inlineStr">
        <is>
          <t>UI over learn.routes /topic-mastery showing per-topic scores; backend only today.</t>
        </is>
      </c>
      <c r="F79" s="31" t="inlineStr">
        <is>
          <t>Given mastery rows, when the screen is opened, then topics are ranked with safe and at-risk bands.</t>
        </is>
      </c>
      <c r="G79" s="31" t="inlineStr">
        <is>
          <t>Sprint 3</t>
        </is>
      </c>
      <c r="H79" s="31" t="inlineStr">
        <is>
          <t>FE Dev</t>
        </is>
      </c>
      <c r="I79" s="32" t="n">
        <v>8</v>
      </c>
      <c r="J79" s="31" t="inlineStr">
        <is>
          <t>Medium</t>
        </is>
      </c>
      <c r="K79" s="31" t="inlineStr">
        <is>
          <t>To Do</t>
        </is>
      </c>
      <c r="L79" s="33" t="n">
        <v>46301</v>
      </c>
      <c r="M79" s="33" t="n">
        <v>46312</v>
      </c>
    </row>
    <row r="80" s="16">
      <c r="A80" s="24">
        <f>"TASK-"&amp;TEXT(79,"000")</f>
        <v/>
      </c>
      <c r="B80" s="31" t="inlineStr">
        <is>
          <t>UC-058</t>
        </is>
      </c>
      <c r="C80" s="31" t="inlineStr">
        <is>
          <t>In-app notification centre</t>
        </is>
      </c>
      <c r="D80" s="31" t="inlineStr">
        <is>
          <t>Frontend</t>
        </is>
      </c>
      <c r="E80" s="31" t="inlineStr">
        <is>
          <t>NotificationBell over notificationsListRouter including clear-all (P0-5).</t>
        </is>
      </c>
      <c r="F80" s="31" t="inlineStr">
        <is>
          <t>Given unread notifications, when the bell is opened, then they are listed and clear-all empties the list server-side.</t>
        </is>
      </c>
      <c r="G80" s="31" t="inlineStr">
        <is>
          <t>Sprint 1</t>
        </is>
      </c>
      <c r="H80" s="31" t="inlineStr">
        <is>
          <t>FE Dev</t>
        </is>
      </c>
      <c r="I80" s="32" t="n">
        <v>3</v>
      </c>
      <c r="J80" s="31" t="inlineStr">
        <is>
          <t>Medium</t>
        </is>
      </c>
      <c r="K80" s="31" t="inlineStr">
        <is>
          <t>Done</t>
        </is>
      </c>
      <c r="L80" s="33" t="n">
        <v>46273</v>
      </c>
      <c r="M80" s="33" t="n">
        <v>46277</v>
      </c>
    </row>
    <row r="81" s="16">
      <c r="A81" s="24">
        <f>"TASK-"&amp;TEXT(80,"000")</f>
        <v/>
      </c>
      <c r="B81" s="31" t="inlineStr">
        <is>
          <t>UC-059</t>
        </is>
      </c>
      <c r="C81" s="31" t="inlineStr">
        <is>
          <t>Base the daily reminder on server attempt data (DB-03)</t>
        </is>
      </c>
      <c r="D81" s="31" t="inlineStr">
        <is>
          <t>Frontend</t>
        </is>
      </c>
      <c r="E81" s="31" t="inlineStr">
        <is>
          <t>DailyReminderModal's 'did they test today' check still reads App.tsx's ephemeral attempts array, so it misfires after a fresh login.</t>
        </is>
      </c>
      <c r="F81" s="31" t="inlineStr">
        <is>
          <t>Given a student who tested today on another device, when the app loads, then no reminder is shown.</t>
        </is>
      </c>
      <c r="G81" s="31" t="inlineStr">
        <is>
          <t>Sprint 1</t>
        </is>
      </c>
      <c r="H81" s="31" t="inlineStr">
        <is>
          <t>FE Dev</t>
        </is>
      </c>
      <c r="I81" s="32" t="n">
        <v>3</v>
      </c>
      <c r="J81" s="31" t="inlineStr">
        <is>
          <t>Low</t>
        </is>
      </c>
      <c r="K81" s="31" t="inlineStr">
        <is>
          <t>In Progress</t>
        </is>
      </c>
      <c r="L81" s="33" t="n">
        <v>46273</v>
      </c>
      <c r="M81" s="33" t="n">
        <v>46284</v>
      </c>
    </row>
    <row r="82" s="16">
      <c r="A82" s="24">
        <f>"TASK-"&amp;TEXT(81,"000")</f>
        <v/>
      </c>
      <c r="B82" s="31" t="inlineStr">
        <is>
          <t>UC-062</t>
        </is>
      </c>
      <c r="C82" s="31" t="inlineStr">
        <is>
          <t>Fill in the placeholder admin tabs</t>
        </is>
      </c>
      <c r="D82" s="31" t="inlineStr">
        <is>
          <t>Frontend</t>
        </is>
      </c>
      <c r="E82" s="31" t="inlineStr">
        <is>
          <t>AdminView ships the shell and tabs (Overview/Students/Content/Analytics/Settings) with several panels still placeholders.</t>
        </is>
      </c>
      <c r="F82" s="31" t="inlineStr">
        <is>
          <t>Given each admin tab, when it is opened, then it renders real data or an explicit empty state — no placeholder panels remain.</t>
        </is>
      </c>
      <c r="G82" s="31" t="inlineStr">
        <is>
          <t>Sprint 1</t>
        </is>
      </c>
      <c r="H82" s="31" t="inlineStr">
        <is>
          <t>FE Dev</t>
        </is>
      </c>
      <c r="I82" s="32" t="n">
        <v>8</v>
      </c>
      <c r="J82" s="31" t="inlineStr">
        <is>
          <t>Medium</t>
        </is>
      </c>
      <c r="K82" s="31" t="inlineStr">
        <is>
          <t>In Progress</t>
        </is>
      </c>
      <c r="L82" s="33" t="n">
        <v>46273</v>
      </c>
      <c r="M82" s="33" t="n">
        <v>46284</v>
      </c>
    </row>
    <row r="83" s="16">
      <c r="A83" s="24">
        <f>"TASK-"&amp;TEXT(82,"000")</f>
        <v/>
      </c>
      <c r="B83" s="31" t="inlineStr">
        <is>
          <t>UC-062</t>
        </is>
      </c>
      <c r="C83" s="31" t="inlineStr">
        <is>
          <t>Wire the admin overview to GET /admin/stats</t>
        </is>
      </c>
      <c r="D83" s="31" t="inlineStr">
        <is>
          <t>Full-stack</t>
        </is>
      </c>
      <c r="E83" s="31" t="inlineStr">
        <is>
          <t>Render the platform counts behind requirePermission('admin:stats') in the Overview tab.</t>
        </is>
      </c>
      <c r="F83" s="31" t="inlineStr">
        <is>
          <t>Given an admin, when Overview is opened, then live user, attempt and content counts render; a non-admin is refused.</t>
        </is>
      </c>
      <c r="G83" s="31" t="inlineStr">
        <is>
          <t>Sprint 2</t>
        </is>
      </c>
      <c r="H83" s="31" t="inlineStr">
        <is>
          <t>Full-stack</t>
        </is>
      </c>
      <c r="I83" s="32" t="n">
        <v>5</v>
      </c>
      <c r="J83" s="31" t="inlineStr">
        <is>
          <t>Medium</t>
        </is>
      </c>
      <c r="K83" s="31" t="inlineStr">
        <is>
          <t>To Do</t>
        </is>
      </c>
      <c r="L83" s="33" t="n">
        <v>46287</v>
      </c>
      <c r="M83" s="33" t="n">
        <v>46298</v>
      </c>
    </row>
    <row r="84" s="16">
      <c r="A84" s="24">
        <f>"TASK-"&amp;TEXT(83,"000")</f>
        <v/>
      </c>
      <c r="B84" s="31" t="inlineStr">
        <is>
          <t>UC-063</t>
        </is>
      </c>
      <c r="C84" s="31" t="inlineStr">
        <is>
          <t>User invitations</t>
        </is>
      </c>
      <c r="D84" s="31" t="inlineStr">
        <is>
          <t>Backend</t>
        </is>
      </c>
      <c r="E84" s="31" t="inlineStr">
        <is>
          <t>admin.routes invitation endpoints using the service-role key.</t>
        </is>
      </c>
      <c r="F84" s="31" t="inlineStr">
        <is>
          <t>Given an invited email, when the invite is sent, then the invitee can complete sign-up against that invitation only.</t>
        </is>
      </c>
      <c r="G84" s="31" t="inlineStr">
        <is>
          <t>Sprint 1</t>
        </is>
      </c>
      <c r="H84" s="31" t="inlineStr">
        <is>
          <t>BE Dev</t>
        </is>
      </c>
      <c r="I84" s="32" t="n">
        <v>5</v>
      </c>
      <c r="J84" s="31" t="inlineStr">
        <is>
          <t>High</t>
        </is>
      </c>
      <c r="K84" s="31" t="inlineStr">
        <is>
          <t>Done</t>
        </is>
      </c>
      <c r="L84" s="33" t="n">
        <v>46273</v>
      </c>
      <c r="M84" s="33" t="n">
        <v>46277</v>
      </c>
    </row>
    <row r="85" s="16">
      <c r="A85" s="24">
        <f>"TASK-"&amp;TEXT(84,"000")</f>
        <v/>
      </c>
      <c r="B85" s="31" t="inlineStr">
        <is>
          <t>UC-064</t>
        </is>
      </c>
      <c r="C85" s="31" t="inlineStr">
        <is>
          <t>User search and record correction</t>
        </is>
      </c>
      <c r="D85" s="31" t="inlineStr">
        <is>
          <t>Backend</t>
        </is>
      </c>
      <c r="E85" s="31" t="inlineStr">
        <is>
          <t>userManageGated routes over adminUser.service.ts.</t>
        </is>
      </c>
      <c r="F85" s="31" t="inlineStr">
        <is>
          <t>Given a support request, when an admin searches and edits a user, then the change is persisted and audited.</t>
        </is>
      </c>
      <c r="G85" s="31" t="inlineStr">
        <is>
          <t>Sprint 1</t>
        </is>
      </c>
      <c r="H85" s="31" t="inlineStr">
        <is>
          <t>BE Dev</t>
        </is>
      </c>
      <c r="I85" s="32" t="n">
        <v>5</v>
      </c>
      <c r="J85" s="31" t="inlineStr">
        <is>
          <t>High</t>
        </is>
      </c>
      <c r="K85" s="31" t="inlineStr">
        <is>
          <t>Done</t>
        </is>
      </c>
      <c r="L85" s="33" t="n">
        <v>46273</v>
      </c>
      <c r="M85" s="33" t="n">
        <v>46277</v>
      </c>
    </row>
    <row r="86" s="16">
      <c r="A86" s="24">
        <f>"TASK-"&amp;TEXT(85,"000")</f>
        <v/>
      </c>
      <c r="B86" s="31" t="inlineStr">
        <is>
          <t>UC-065</t>
        </is>
      </c>
      <c r="C86" s="31" t="inlineStr">
        <is>
          <t>Account status transitions</t>
        </is>
      </c>
      <c r="D86" s="31" t="inlineStr">
        <is>
          <t>Backend</t>
        </is>
      </c>
      <c r="E86" s="31" t="inlineStr">
        <is>
          <t>transitionStatusSchema for suspend, reactivate and delete; DELETE /me is gated behind user-manage permission plus recent OTP re-authentication (BUG-27).</t>
        </is>
      </c>
      <c r="F86" s="31" t="inlineStr">
        <is>
          <t>Given a suspended account, when the user signs in, then access is refused; self-service deletion is not reachable without re-auth.</t>
        </is>
      </c>
      <c r="G86" s="31" t="inlineStr">
        <is>
          <t>Sprint 1</t>
        </is>
      </c>
      <c r="H86" s="31" t="inlineStr">
        <is>
          <t>BE Dev</t>
        </is>
      </c>
      <c r="I86" s="32" t="n">
        <v>3</v>
      </c>
      <c r="J86" s="31" t="inlineStr">
        <is>
          <t>High</t>
        </is>
      </c>
      <c r="K86" s="31" t="inlineStr">
        <is>
          <t>Done</t>
        </is>
      </c>
      <c r="L86" s="33" t="n">
        <v>46273</v>
      </c>
      <c r="M86" s="33" t="n">
        <v>46277</v>
      </c>
    </row>
    <row r="87" s="16">
      <c r="A87" s="24">
        <f>"TASK-"&amp;TEXT(86,"000")</f>
        <v/>
      </c>
      <c r="B87" s="31" t="inlineStr">
        <is>
          <t>UC-066</t>
        </is>
      </c>
      <c r="C87" s="31" t="inlineStr">
        <is>
          <t>Role grant and revoke</t>
        </is>
      </c>
      <c r="D87" s="31" t="inlineStr">
        <is>
          <t>Backend</t>
        </is>
      </c>
      <c r="E87" s="31" t="inlineStr">
        <is>
          <t>admin.routes role endpoints enforced by middleware/requirePermission.ts.</t>
        </is>
      </c>
      <c r="F87" s="31" t="inlineStr">
        <is>
          <t>Given a revoked role, when the user calls a route that needed it, then the call is refused immediately.</t>
        </is>
      </c>
      <c r="G87" s="31" t="inlineStr">
        <is>
          <t>Sprint 1</t>
        </is>
      </c>
      <c r="H87" s="31" t="inlineStr">
        <is>
          <t>BE Dev</t>
        </is>
      </c>
      <c r="I87" s="32" t="n">
        <v>3</v>
      </c>
      <c r="J87" s="31" t="inlineStr">
        <is>
          <t>High</t>
        </is>
      </c>
      <c r="K87" s="31" t="inlineStr">
        <is>
          <t>Done</t>
        </is>
      </c>
      <c r="L87" s="33" t="n">
        <v>46273</v>
      </c>
      <c r="M87" s="33" t="n">
        <v>46277</v>
      </c>
    </row>
    <row r="88" s="16">
      <c r="A88" s="24">
        <f>"TASK-"&amp;TEXT(87,"000")</f>
        <v/>
      </c>
      <c r="B88" s="31" t="inlineStr">
        <is>
          <t>UC-067</t>
        </is>
      </c>
      <c r="C88" s="31" t="inlineStr">
        <is>
          <t>Force sign-out and force password reset</t>
        </is>
      </c>
      <c r="D88" s="31" t="inlineStr">
        <is>
          <t>Backend</t>
        </is>
      </c>
      <c r="E88" s="31" t="inlineStr">
        <is>
          <t>admin.routes force-sign-out / force-password-reset for compromised accounts.</t>
        </is>
      </c>
      <c r="F88" s="31" t="inlineStr">
        <is>
          <t>Given a forced sign-out, when the user's existing session is used, then it is rejected and re-authentication is required.</t>
        </is>
      </c>
      <c r="G88" s="31" t="inlineStr">
        <is>
          <t>Sprint 1</t>
        </is>
      </c>
      <c r="H88" s="31" t="inlineStr">
        <is>
          <t>BE Dev</t>
        </is>
      </c>
      <c r="I88" s="32" t="n">
        <v>3</v>
      </c>
      <c r="J88" s="31" t="inlineStr">
        <is>
          <t>Medium</t>
        </is>
      </c>
      <c r="K88" s="31" t="inlineStr">
        <is>
          <t>Done</t>
        </is>
      </c>
      <c r="L88" s="33" t="n">
        <v>46273</v>
      </c>
      <c r="M88" s="33" t="n">
        <v>46277</v>
      </c>
    </row>
    <row r="89" s="16">
      <c r="A89" s="24">
        <f>"TASK-"&amp;TEXT(88,"000")</f>
        <v/>
      </c>
      <c r="B89" s="31" t="inlineStr">
        <is>
          <t>UC-068</t>
        </is>
      </c>
      <c r="C89" s="31" t="inlineStr">
        <is>
          <t>Submit a question for review</t>
        </is>
      </c>
      <c r="D89" s="31" t="inlineStr">
        <is>
          <t>Backend</t>
        </is>
      </c>
      <c r="E89" s="31" t="inlineStr">
        <is>
          <t>content.routes submit path over db/content/lifecycle.ts.</t>
        </is>
      </c>
      <c r="F89" s="31" t="inlineStr">
        <is>
          <t>Given a draft question, when it is submitted, then its state moves to under-review and the transition is recorded.</t>
        </is>
      </c>
      <c r="G89" s="31" t="inlineStr">
        <is>
          <t>Sprint 1</t>
        </is>
      </c>
      <c r="H89" s="31" t="inlineStr">
        <is>
          <t>BE Dev</t>
        </is>
      </c>
      <c r="I89" s="32" t="n">
        <v>3</v>
      </c>
      <c r="J89" s="31" t="inlineStr">
        <is>
          <t>High</t>
        </is>
      </c>
      <c r="K89" s="31" t="inlineStr">
        <is>
          <t>Done</t>
        </is>
      </c>
      <c r="L89" s="33" t="n">
        <v>46273</v>
      </c>
      <c r="M89" s="33" t="n">
        <v>46277</v>
      </c>
    </row>
    <row r="90" s="16">
      <c r="A90" s="24">
        <f>"TASK-"&amp;TEXT(89,"000")</f>
        <v/>
      </c>
      <c r="B90" s="31" t="inlineStr">
        <is>
          <t>UC-069</t>
        </is>
      </c>
      <c r="C90" s="31" t="inlineStr">
        <is>
          <t>Review decision (approve or send back)</t>
        </is>
      </c>
      <c r="D90" s="31" t="inlineStr">
        <is>
          <t>Backend</t>
        </is>
      </c>
      <c r="E90" s="31" t="inlineStr">
        <is>
          <t>review-decision behind requirePermission('content:review_decide').</t>
        </is>
      </c>
      <c r="F90" s="31" t="inlineStr">
        <is>
          <t>Given a question under review, when a decision is recorded, then the state and reviewer note are stored atomically.</t>
        </is>
      </c>
      <c r="G90" s="31" t="inlineStr">
        <is>
          <t>Sprint 1</t>
        </is>
      </c>
      <c r="H90" s="31" t="inlineStr">
        <is>
          <t>BE Dev</t>
        </is>
      </c>
      <c r="I90" s="32" t="n">
        <v>3</v>
      </c>
      <c r="J90" s="31" t="inlineStr">
        <is>
          <t>High</t>
        </is>
      </c>
      <c r="K90" s="31" t="inlineStr">
        <is>
          <t>Done</t>
        </is>
      </c>
      <c r="L90" s="33" t="n">
        <v>46273</v>
      </c>
      <c r="M90" s="33" t="n">
        <v>46277</v>
      </c>
    </row>
    <row r="91" s="16">
      <c r="A91" s="24">
        <f>"TASK-"&amp;TEXT(90,"000")</f>
        <v/>
      </c>
      <c r="B91" s="31" t="inlineStr">
        <is>
          <t>UC-070</t>
        </is>
      </c>
      <c r="C91" s="31" t="inlineStr">
        <is>
          <t>Publish and retire questions</t>
        </is>
      </c>
      <c r="D91" s="31" t="inlineStr">
        <is>
          <t>Backend</t>
        </is>
      </c>
      <c r="E91" s="31" t="inlineStr">
        <is>
          <t>content.routes publish/retire; POOL-14 confirms draft and retired items never count as available.</t>
        </is>
      </c>
      <c r="F91" s="31" t="inlineStr">
        <is>
          <t>Given a retired question, when availability is computed, then it is excluded from every pool.</t>
        </is>
      </c>
      <c r="G91" s="31" t="inlineStr">
        <is>
          <t>Sprint 1</t>
        </is>
      </c>
      <c r="H91" s="31" t="inlineStr">
        <is>
          <t>BE Dev</t>
        </is>
      </c>
      <c r="I91" s="32" t="n">
        <v>5</v>
      </c>
      <c r="J91" s="31" t="inlineStr">
        <is>
          <t>Critical</t>
        </is>
      </c>
      <c r="K91" s="31" t="inlineStr">
        <is>
          <t>Done</t>
        </is>
      </c>
      <c r="L91" s="33" t="n">
        <v>46273</v>
      </c>
      <c r="M91" s="33" t="n">
        <v>46277</v>
      </c>
    </row>
    <row r="92" s="16">
      <c r="A92" s="24">
        <f>"TASK-"&amp;TEXT(91,"000")</f>
        <v/>
      </c>
      <c r="B92" s="31" t="inlineStr">
        <is>
          <t>UC-071</t>
        </is>
      </c>
      <c r="C92" s="31" t="inlineStr">
        <is>
          <t>Question review history</t>
        </is>
      </c>
      <c r="D92" s="31" t="inlineStr">
        <is>
          <t>Backend</t>
        </is>
      </c>
      <c r="E92" s="31" t="inlineStr">
        <is>
          <t>content.routes review-history returning who changed what and when.</t>
        </is>
      </c>
      <c r="F92" s="31" t="inlineStr">
        <is>
          <t>Given a question, when its history is requested, then every transition is listed in order with its actor.</t>
        </is>
      </c>
      <c r="G92" s="31" t="inlineStr">
        <is>
          <t>Sprint 1</t>
        </is>
      </c>
      <c r="H92" s="31" t="inlineStr">
        <is>
          <t>BE Dev</t>
        </is>
      </c>
      <c r="I92" s="32" t="n">
        <v>2</v>
      </c>
      <c r="J92" s="31" t="inlineStr">
        <is>
          <t>Medium</t>
        </is>
      </c>
      <c r="K92" s="31" t="inlineStr">
        <is>
          <t>Done</t>
        </is>
      </c>
      <c r="L92" s="33" t="n">
        <v>46273</v>
      </c>
      <c r="M92" s="33" t="n">
        <v>46277</v>
      </c>
    </row>
    <row r="93" s="16">
      <c r="A93" s="24">
        <f>"TASK-"&amp;TEXT(92,"000")</f>
        <v/>
      </c>
      <c r="B93" s="31" t="inlineStr">
        <is>
          <t>UC-072</t>
        </is>
      </c>
      <c r="C93" s="31" t="inlineStr">
        <is>
          <t>Content health report</t>
        </is>
      </c>
      <c r="D93" s="31" t="inlineStr">
        <is>
          <t>Backend</t>
        </is>
      </c>
      <c r="E93" s="31" t="inlineStr">
        <is>
          <t>content.routes content-health, read alongside docs/POOL_CENSUS.md for pool coverage.</t>
        </is>
      </c>
      <c r="F93" s="31" t="inlineStr">
        <is>
          <t>Given the report, when it is generated, then scopes below the coverage threshold are listed.</t>
        </is>
      </c>
      <c r="G93" s="31" t="inlineStr">
        <is>
          <t>Sprint 1</t>
        </is>
      </c>
      <c r="H93" s="31" t="inlineStr">
        <is>
          <t>BE Dev</t>
        </is>
      </c>
      <c r="I93" s="32" t="n">
        <v>3</v>
      </c>
      <c r="J93" s="31" t="inlineStr">
        <is>
          <t>Medium</t>
        </is>
      </c>
      <c r="K93" s="31" t="inlineStr">
        <is>
          <t>Done</t>
        </is>
      </c>
      <c r="L93" s="33" t="n">
        <v>46273</v>
      </c>
      <c r="M93" s="33" t="n">
        <v>46277</v>
      </c>
    </row>
    <row r="94" s="16">
      <c r="A94" s="24">
        <f>"TASK-"&amp;TEXT(93,"000")</f>
        <v/>
      </c>
      <c r="B94" s="31" t="inlineStr">
        <is>
          <t>UC-073</t>
        </is>
      </c>
      <c r="C94" s="31" t="inlineStr">
        <is>
          <t>Question bank search API</t>
        </is>
      </c>
      <c r="D94" s="31" t="inlineStr">
        <is>
          <t>Backend</t>
        </is>
      </c>
      <c r="E94" s="31" t="inlineStr">
        <is>
          <t>GET /questions with a Zod-validated query over the ~1,400-row bank.</t>
        </is>
      </c>
      <c r="F94" s="31" t="inlineStr">
        <is>
          <t>Given filters on scope, state and difficulty, when the endpoint is called, then only matching questions are returned.</t>
        </is>
      </c>
      <c r="G94" s="31" t="inlineStr">
        <is>
          <t>Sprint 1</t>
        </is>
      </c>
      <c r="H94" s="31" t="inlineStr">
        <is>
          <t>BE Dev</t>
        </is>
      </c>
      <c r="I94" s="32" t="n">
        <v>3</v>
      </c>
      <c r="J94" s="31" t="inlineStr">
        <is>
          <t>Medium</t>
        </is>
      </c>
      <c r="K94" s="31" t="inlineStr">
        <is>
          <t>Done</t>
        </is>
      </c>
      <c r="L94" s="33" t="n">
        <v>46273</v>
      </c>
      <c r="M94" s="33" t="n">
        <v>46277</v>
      </c>
    </row>
    <row r="95" s="16">
      <c r="A95" s="24">
        <f>"TASK-"&amp;TEXT(94,"000")</f>
        <v/>
      </c>
      <c r="B95" s="31" t="inlineStr">
        <is>
          <t>UC-073</t>
        </is>
      </c>
      <c r="C95" s="31" t="inlineStr">
        <is>
          <t>Question bank admin screen</t>
        </is>
      </c>
      <c r="D95" s="31" t="inlineStr">
        <is>
          <t>Frontend</t>
        </is>
      </c>
      <c r="E95" s="31" t="inlineStr">
        <is>
          <t>Admin UI over GET /questions so content managers can work the bank without direct API calls.</t>
        </is>
      </c>
      <c r="F95" s="31" t="inlineStr">
        <is>
          <t>Given the Content tab, when filters are applied, then matching questions render with their lifecycle state and actions.</t>
        </is>
      </c>
      <c r="G95" s="31" t="inlineStr">
        <is>
          <t>Sprint 4</t>
        </is>
      </c>
      <c r="H95" s="31" t="inlineStr">
        <is>
          <t>FE Dev</t>
        </is>
      </c>
      <c r="I95" s="32" t="n">
        <v>8</v>
      </c>
      <c r="J95" s="31" t="inlineStr">
        <is>
          <t>Medium</t>
        </is>
      </c>
      <c r="K95" s="31" t="inlineStr">
        <is>
          <t>To Do</t>
        </is>
      </c>
      <c r="L95" s="33" t="n">
        <v>46315</v>
      </c>
      <c r="M95" s="33" t="n">
        <v>46326</v>
      </c>
    </row>
    <row r="96" s="16">
      <c r="A96" s="24">
        <f>"TASK-"&amp;TEXT(95,"000")</f>
        <v/>
      </c>
      <c r="B96" s="31" t="inlineStr">
        <is>
          <t>UC-070</t>
        </is>
      </c>
      <c r="C96" s="31" t="inlineStr">
        <is>
          <t>Pool-sufficiency validation at publish time (DB-02)</t>
        </is>
      </c>
      <c r="D96" s="31" t="inlineStr">
        <is>
          <t>Backend</t>
        </is>
      </c>
      <c r="E96" s="31" t="inlineStr">
        <is>
          <t>Reject a fixed paper whose blueprint the live pool cannot satisfy. Parked until ingestFixedPaper gets a real admin route — it has no live callers today.</t>
        </is>
      </c>
      <c r="F96" s="31" t="inlineStr">
        <is>
          <t>Given a blueprint the pool cannot satisfy, when publish is attempted, then it is refused with the shortfall named.</t>
        </is>
      </c>
      <c r="G96" s="31" t="inlineStr">
        <is>
          <t>Backlog</t>
        </is>
      </c>
      <c r="H96" s="31" t="inlineStr">
        <is>
          <t>BE Dev</t>
        </is>
      </c>
      <c r="I96" s="32" t="n">
        <v>5</v>
      </c>
      <c r="J96" s="31" t="inlineStr">
        <is>
          <t>Low</t>
        </is>
      </c>
      <c r="K96" s="31" t="inlineStr">
        <is>
          <t>To Do</t>
        </is>
      </c>
      <c r="L96" s="33" t="n"/>
      <c r="M96" s="33" t="n"/>
    </row>
    <row r="97" s="16">
      <c r="A97" s="24">
        <f>"TASK-"&amp;TEXT(96,"000")</f>
        <v/>
      </c>
      <c r="B97" s="31" t="inlineStr">
        <is>
          <t>UC-074</t>
        </is>
      </c>
      <c r="C97" s="31" t="inlineStr">
        <is>
          <t>Reproducible question batch import</t>
        </is>
      </c>
      <c r="D97" s="31" t="inlineStr">
        <is>
          <t>Backend</t>
        </is>
      </c>
      <c r="E97" s="31" t="inlineStr">
        <is>
          <t>schemas/ plus db/scripts/ import with dry-run reports and error triage in docs/CL2_*.</t>
        </is>
      </c>
      <c r="F97" s="31" t="inlineStr">
        <is>
          <t>Given an authored batch, when it is imported, then the dry-run report matches the applied result and images resolve.</t>
        </is>
      </c>
      <c r="G97" s="31" t="inlineStr">
        <is>
          <t>Sprint 1</t>
        </is>
      </c>
      <c r="H97" s="31" t="inlineStr">
        <is>
          <t>BE Dev</t>
        </is>
      </c>
      <c r="I97" s="32" t="n">
        <v>8</v>
      </c>
      <c r="J97" s="31" t="inlineStr">
        <is>
          <t>High</t>
        </is>
      </c>
      <c r="K97" s="31" t="inlineStr">
        <is>
          <t>Done</t>
        </is>
      </c>
      <c r="L97" s="33" t="n">
        <v>46273</v>
      </c>
      <c r="M97" s="33" t="n">
        <v>46277</v>
      </c>
    </row>
    <row r="98" s="16">
      <c r="A98" s="24">
        <f>"TASK-"&amp;TEXT(97,"000")</f>
        <v/>
      </c>
      <c r="B98" s="31" t="inlineStr">
        <is>
          <t>UC-075</t>
        </is>
      </c>
      <c r="C98" s="31" t="inlineStr">
        <is>
          <t>Promote duplicate detection into the publish gate</t>
        </is>
      </c>
      <c r="D98" s="31" t="inlineStr">
        <is>
          <t>Backend</t>
        </is>
      </c>
      <c r="E98" s="31" t="inlineStr">
        <is>
          <t>Fingerprint normaliser and quarantine exist (db/content/_quarantine, QUESTION_DEDUP_* docs); make a near-duplicate block publication rather than only being reported.</t>
        </is>
      </c>
      <c r="F98" s="31" t="inlineStr">
        <is>
          <t>Given a near-duplicate above the agreed threshold, when publish is attempted, then it is quarantined with its match named.</t>
        </is>
      </c>
      <c r="G98" s="31" t="inlineStr">
        <is>
          <t>Sprint 1</t>
        </is>
      </c>
      <c r="H98" s="31" t="inlineStr">
        <is>
          <t>BE Dev</t>
        </is>
      </c>
      <c r="I98" s="32" t="n">
        <v>8</v>
      </c>
      <c r="J98" s="31" t="inlineStr">
        <is>
          <t>High</t>
        </is>
      </c>
      <c r="K98" s="31" t="inlineStr">
        <is>
          <t>In Progress</t>
        </is>
      </c>
      <c r="L98" s="33" t="n">
        <v>46273</v>
      </c>
      <c r="M98" s="33" t="n">
        <v>46284</v>
      </c>
    </row>
    <row r="99" s="16">
      <c r="A99" s="24">
        <f>"TASK-"&amp;TEXT(98,"000")</f>
        <v/>
      </c>
      <c r="B99" s="31" t="inlineStr">
        <is>
          <t>UC-075</t>
        </is>
      </c>
      <c r="C99" s="31" t="inlineStr">
        <is>
          <t>Stem-level duplicate protection in anti-repeat (REP-24)</t>
        </is>
      </c>
      <c r="D99" s="31" t="inlineStr">
        <is>
          <t>Backend</t>
        </is>
      </c>
      <c r="E99" s="31" t="inlineStr">
        <is>
          <t>Anti-repeat is keyed on question_id, so the same stem under two ids can still reach one student — key the exposure ledger on content fingerprint too.</t>
        </is>
      </c>
      <c r="F99" s="31" t="inlineStr">
        <is>
          <t>Given two ids sharing a fingerprint, when papers are assembled for one student, then only one of them is served.</t>
        </is>
      </c>
      <c r="G99" s="31" t="inlineStr">
        <is>
          <t>Sprint 3</t>
        </is>
      </c>
      <c r="H99" s="31" t="inlineStr">
        <is>
          <t>BE Dev</t>
        </is>
      </c>
      <c r="I99" s="32" t="n">
        <v>5</v>
      </c>
      <c r="J99" s="31" t="inlineStr">
        <is>
          <t>High</t>
        </is>
      </c>
      <c r="K99" s="31" t="inlineStr">
        <is>
          <t>To Do</t>
        </is>
      </c>
      <c r="L99" s="33" t="n">
        <v>46301</v>
      </c>
      <c r="M99" s="33" t="n">
        <v>46312</v>
      </c>
    </row>
    <row r="100" s="16">
      <c r="A100" s="24">
        <f>"TASK-"&amp;TEXT(99,"000")</f>
        <v/>
      </c>
      <c r="B100" s="31" t="inlineStr">
        <is>
          <t>UC-075</t>
        </is>
      </c>
      <c r="C100" s="31" t="inlineStr">
        <is>
          <t>Backfill a dedupe scan across the live bank</t>
        </is>
      </c>
      <c r="D100" s="31" t="inlineStr">
        <is>
          <t>Backend</t>
        </is>
      </c>
      <c r="E100" s="31" t="inlineStr">
        <is>
          <t>Run the fingerprint scan over all ~1,400 rows and triage the matches into the tracker.</t>
        </is>
      </c>
      <c r="F100" s="31" t="inlineStr">
        <is>
          <t>Given the full bank, when the scan completes, then every match is triaged as duplicate or distinct in QUESTION_DEDUP_TRACKER.md.</t>
        </is>
      </c>
      <c r="G100" s="31" t="inlineStr">
        <is>
          <t>Sprint 2</t>
        </is>
      </c>
      <c r="H100" s="31" t="inlineStr">
        <is>
          <t>Content Ops</t>
        </is>
      </c>
      <c r="I100" s="32" t="n">
        <v>5</v>
      </c>
      <c r="J100" s="31" t="inlineStr">
        <is>
          <t>High</t>
        </is>
      </c>
      <c r="K100" s="31" t="inlineStr">
        <is>
          <t>To Do</t>
        </is>
      </c>
      <c r="L100" s="33" t="n">
        <v>46287</v>
      </c>
      <c r="M100" s="33" t="n">
        <v>46298</v>
      </c>
    </row>
    <row r="101" s="16">
      <c r="A101" s="24">
        <f>"TASK-"&amp;TEXT(100,"000")</f>
        <v/>
      </c>
      <c r="B101" s="31" t="inlineStr">
        <is>
          <t>UC-076</t>
        </is>
      </c>
      <c r="C101" s="31" t="inlineStr">
        <is>
          <t>Reliable question image serving</t>
        </is>
      </c>
      <c r="D101" s="31" t="inlineStr">
        <is>
          <t>Backend</t>
        </is>
      </c>
      <c r="E101" s="31" t="inlineStr">
        <is>
          <t>asset-resolver with QuestionImage reserving space and framing consistently.</t>
        </is>
      </c>
      <c r="F101" s="31" t="inlineStr">
        <is>
          <t>Given an image question, when it renders, then the image loads or a clear fallback is shown, with no layout shift.</t>
        </is>
      </c>
      <c r="G101" s="31" t="inlineStr">
        <is>
          <t>Sprint 1</t>
        </is>
      </c>
      <c r="H101" s="31" t="inlineStr">
        <is>
          <t>BE Dev</t>
        </is>
      </c>
      <c r="I101" s="32" t="n">
        <v>5</v>
      </c>
      <c r="J101" s="31" t="inlineStr">
        <is>
          <t>High</t>
        </is>
      </c>
      <c r="K101" s="31" t="inlineStr">
        <is>
          <t>Done</t>
        </is>
      </c>
      <c r="L101" s="33" t="n">
        <v>46273</v>
      </c>
      <c r="M101" s="33" t="n">
        <v>46277</v>
      </c>
    </row>
    <row r="102" s="16">
      <c r="A102" s="24">
        <f>"TASK-"&amp;TEXT(101,"000")</f>
        <v/>
      </c>
      <c r="B102" s="31" t="inlineStr">
        <is>
          <t>UC-076</t>
        </is>
      </c>
      <c r="C102" s="31" t="inlineStr">
        <is>
          <t>Layout check for long-text and tall-image questions (DB-04)</t>
        </is>
      </c>
      <c r="D102" s="31" t="inlineStr">
        <is>
          <t>QA/Testing</t>
        </is>
      </c>
      <c r="E102" s="31" t="inlineStr">
        <is>
          <t>The 3 question types x 3 widths matrix was only verified with short text-only MCQs; seed or find an 800-word question and a tall portrait image and re-run the layout check.</t>
        </is>
      </c>
      <c r="F102" s="31" t="inlineStr">
        <is>
          <t>Given each of the nine combinations, when it is opened at 1920/1366/390px, then the window itself never scrolls and the nav stays visible.</t>
        </is>
      </c>
      <c r="G102" s="31" t="inlineStr">
        <is>
          <t>Sprint 2</t>
        </is>
      </c>
      <c r="H102" s="31" t="inlineStr">
        <is>
          <t>QA</t>
        </is>
      </c>
      <c r="I102" s="32" t="n">
        <v>5</v>
      </c>
      <c r="J102" s="31" t="inlineStr">
        <is>
          <t>Medium</t>
        </is>
      </c>
      <c r="K102" s="31" t="inlineStr">
        <is>
          <t>To Do</t>
        </is>
      </c>
      <c r="L102" s="33" t="n">
        <v>46287</v>
      </c>
      <c r="M102" s="33" t="n">
        <v>46298</v>
      </c>
    </row>
    <row r="103" s="16">
      <c r="A103" s="24">
        <f>"TASK-"&amp;TEXT(102,"000")</f>
        <v/>
      </c>
      <c r="B103" s="31" t="inlineStr">
        <is>
          <t>UC-077</t>
        </is>
      </c>
      <c r="C103" s="31" t="inlineStr">
        <is>
          <t>Migrations with matching verification scripts</t>
        </is>
      </c>
      <c r="D103" s="31" t="inlineStr">
        <is>
          <t>DevOps</t>
        </is>
      </c>
      <c r="E103" s="31" t="inlineStr">
        <is>
          <t>db/migrations 000-017 each paired with a db/verify script; the Prisma migration track is deliberately unused for this schema.</t>
        </is>
      </c>
      <c r="F103" s="31" t="inlineStr">
        <is>
          <t>Given a migration, when its verify script runs, then the live schema is proven to match rather than assumed.</t>
        </is>
      </c>
      <c r="G103" s="31" t="inlineStr">
        <is>
          <t>Sprint 1</t>
        </is>
      </c>
      <c r="H103" s="31" t="inlineStr">
        <is>
          <t>DevOps</t>
        </is>
      </c>
      <c r="I103" s="32" t="n">
        <v>5</v>
      </c>
      <c r="J103" s="31" t="inlineStr">
        <is>
          <t>Critical</t>
        </is>
      </c>
      <c r="K103" s="31" t="inlineStr">
        <is>
          <t>Done</t>
        </is>
      </c>
      <c r="L103" s="33" t="n">
        <v>46273</v>
      </c>
      <c r="M103" s="33" t="n">
        <v>46277</v>
      </c>
    </row>
    <row r="104" s="16">
      <c r="A104" s="24">
        <f>"TASK-"&amp;TEXT(103,"000")</f>
        <v/>
      </c>
      <c r="B104" s="31" t="inlineStr">
        <is>
          <t>UC-078</t>
        </is>
      </c>
      <c r="C104" s="31" t="inlineStr">
        <is>
          <t>Ordered environment seed scripts</t>
        </is>
      </c>
      <c r="D104" s="31" t="inlineStr">
        <is>
          <t>DevOps</t>
        </is>
      </c>
      <c r="E104" s="31" t="inlineStr">
        <is>
          <t>db/scripts/seed/* in the sequence documented in README.md and docs/CORE_LAYER_OPERATIONS.md.</t>
        </is>
      </c>
      <c r="F104" s="31" t="inlineStr">
        <is>
          <t>Given an empty database, when the seeds run in order, then the environment reaches a usable state with a working demo account.</t>
        </is>
      </c>
      <c r="G104" s="31" t="inlineStr">
        <is>
          <t>Sprint 1</t>
        </is>
      </c>
      <c r="H104" s="31" t="inlineStr">
        <is>
          <t>DevOps</t>
        </is>
      </c>
      <c r="I104" s="32" t="n">
        <v>3</v>
      </c>
      <c r="J104" s="31" t="inlineStr">
        <is>
          <t>High</t>
        </is>
      </c>
      <c r="K104" s="31" t="inlineStr">
        <is>
          <t>Done</t>
        </is>
      </c>
      <c r="L104" s="33" t="n">
        <v>46273</v>
      </c>
      <c r="M104" s="33" t="n">
        <v>46277</v>
      </c>
    </row>
    <row r="105" s="16">
      <c r="A105" s="24">
        <f>"TASK-"&amp;TEXT(104,"000")</f>
        <v/>
      </c>
      <c r="B105" s="31" t="inlineStr">
        <is>
          <t>UC-079</t>
        </is>
      </c>
      <c r="C105" s="31" t="inlineStr">
        <is>
          <t>Service health endpoint</t>
        </is>
      </c>
      <c r="D105" s="31" t="inlineStr">
        <is>
          <t>DevOps</t>
        </is>
      </c>
      <c r="E105" s="31" t="inlineStr">
        <is>
          <t>GET /health reporting whether the service is actually serving, not just up.</t>
        </is>
      </c>
      <c r="F105" s="31" t="inlineStr">
        <is>
          <t>Given a degraded dependency, when /health is polled, then it reports unhealthy rather than 200.</t>
        </is>
      </c>
      <c r="G105" s="31" t="inlineStr">
        <is>
          <t>Sprint 1</t>
        </is>
      </c>
      <c r="H105" s="31" t="inlineStr">
        <is>
          <t>DevOps</t>
        </is>
      </c>
      <c r="I105" s="32" t="n">
        <v>2</v>
      </c>
      <c r="J105" s="31" t="inlineStr">
        <is>
          <t>Medium</t>
        </is>
      </c>
      <c r="K105" s="31" t="inlineStr">
        <is>
          <t>Done</t>
        </is>
      </c>
      <c r="L105" s="33" t="n">
        <v>46273</v>
      </c>
      <c r="M105" s="33" t="n">
        <v>46277</v>
      </c>
    </row>
    <row r="106" s="16">
      <c r="A106" s="24">
        <f>"TASK-"&amp;TEXT(105,"000")</f>
        <v/>
      </c>
      <c r="B106" s="31" t="inlineStr">
        <is>
          <t>UC-079</t>
        </is>
      </c>
      <c r="C106" s="31" t="inlineStr">
        <is>
          <t>Container healthcheck and uptime alerting</t>
        </is>
      </c>
      <c r="D106" s="31" t="inlineStr">
        <is>
          <t>DevOps</t>
        </is>
      </c>
      <c r="E106" s="31" t="inlineStr">
        <is>
          <t>Wire the Dockerfile healthcheck sketched in docs/FRONTEND.md sec 4.2 and alert on repeated failures.</t>
        </is>
      </c>
      <c r="F106" s="31" t="inlineStr">
        <is>
          <t>Given a failing health endpoint, when the threshold is crossed, then the container is marked unhealthy and an alert fires.</t>
        </is>
      </c>
      <c r="G106" s="31" t="inlineStr">
        <is>
          <t>Sprint 4</t>
        </is>
      </c>
      <c r="H106" s="31" t="inlineStr">
        <is>
          <t>DevOps</t>
        </is>
      </c>
      <c r="I106" s="32" t="n">
        <v>3</v>
      </c>
      <c r="J106" s="31" t="inlineStr">
        <is>
          <t>Medium</t>
        </is>
      </c>
      <c r="K106" s="31" t="inlineStr">
        <is>
          <t>To Do</t>
        </is>
      </c>
      <c r="L106" s="33" t="n">
        <v>46315</v>
      </c>
      <c r="M106" s="33" t="n">
        <v>46326</v>
      </c>
    </row>
    <row r="107" s="16">
      <c r="A107" s="24">
        <f>"TASK-"&amp;TEXT(106,"000")</f>
        <v/>
      </c>
      <c r="B107" s="31" t="inlineStr">
        <is>
          <t>UC-080</t>
        </is>
      </c>
      <c r="C107" s="31" t="inlineStr">
        <is>
          <t>Permission gating on every privileged route</t>
        </is>
      </c>
      <c r="D107" s="31" t="inlineStr">
        <is>
          <t>Backend</t>
        </is>
      </c>
      <c r="E107" s="31" t="inlineStr">
        <is>
          <t>middleware/requireAuth and requirePermission; there is no JWT_SECRET in the app by design.</t>
        </is>
      </c>
      <c r="F107" s="31" t="inlineStr">
        <is>
          <t>Given a role without a permission, when a gated route is called, then it is refused with 403 and nothing is mutated.</t>
        </is>
      </c>
      <c r="G107" s="31" t="inlineStr">
        <is>
          <t>Sprint 1</t>
        </is>
      </c>
      <c r="H107" s="31" t="inlineStr">
        <is>
          <t>BE Dev</t>
        </is>
      </c>
      <c r="I107" s="32" t="n">
        <v>5</v>
      </c>
      <c r="J107" s="31" t="inlineStr">
        <is>
          <t>Critical</t>
        </is>
      </c>
      <c r="K107" s="31" t="inlineStr">
        <is>
          <t>Done</t>
        </is>
      </c>
      <c r="L107" s="33" t="n">
        <v>46273</v>
      </c>
      <c r="M107" s="33" t="n">
        <v>46277</v>
      </c>
    </row>
    <row r="108" s="16">
      <c r="A108" s="24">
        <f>"TASK-"&amp;TEXT(107,"000")</f>
        <v/>
      </c>
      <c r="B108" s="31" t="inlineStr">
        <is>
          <t>UC-081</t>
        </is>
      </c>
      <c r="C108" s="31" t="inlineStr">
        <is>
          <t>Ownership checks on user-scoped data</t>
        </is>
      </c>
      <c r="D108" s="31" t="inlineStr">
        <is>
          <t>Backend</t>
        </is>
      </c>
      <c r="E108" s="31" t="inlineStr">
        <is>
          <t>middleware/ownership.ts with lib/dbCrudRouter; audit_log stays out of CRUD as append-only.</t>
        </is>
      </c>
      <c r="F108" s="31" t="inlineStr">
        <is>
          <t>Given another student's attempt, plan or deck id, when it is requested, then the call is refused.</t>
        </is>
      </c>
      <c r="G108" s="31" t="inlineStr">
        <is>
          <t>Sprint 1</t>
        </is>
      </c>
      <c r="H108" s="31" t="inlineStr">
        <is>
          <t>BE Dev</t>
        </is>
      </c>
      <c r="I108" s="32" t="n">
        <v>5</v>
      </c>
      <c r="J108" s="31" t="inlineStr">
        <is>
          <t>Critical</t>
        </is>
      </c>
      <c r="K108" s="31" t="inlineStr">
        <is>
          <t>Done</t>
        </is>
      </c>
      <c r="L108" s="33" t="n">
        <v>46273</v>
      </c>
      <c r="M108" s="33" t="n">
        <v>46277</v>
      </c>
    </row>
    <row r="109" s="16">
      <c r="A109" s="24">
        <f>"TASK-"&amp;TEXT(108,"000")</f>
        <v/>
      </c>
      <c r="B109" s="31" t="inlineStr">
        <is>
          <t>UC-080</t>
        </is>
      </c>
      <c r="C109" s="31" t="inlineStr">
        <is>
          <t>Permission and ownership regression suite</t>
        </is>
      </c>
      <c r="D109" s="31" t="inlineStr">
        <is>
          <t>QA/Testing</t>
        </is>
      </c>
      <c r="E109" s="31" t="inlineStr">
        <is>
          <t>One automated case per gated route asserting the refusal, so a role change cannot silently open access.</t>
        </is>
      </c>
      <c r="F109" s="31" t="inlineStr">
        <is>
          <t>Given the suite, when it runs in CI, then every gated route has a passing negative case.</t>
        </is>
      </c>
      <c r="G109" s="31" t="inlineStr">
        <is>
          <t>Sprint 3</t>
        </is>
      </c>
      <c r="H109" s="31" t="inlineStr">
        <is>
          <t>QA</t>
        </is>
      </c>
      <c r="I109" s="32" t="n">
        <v>8</v>
      </c>
      <c r="J109" s="31" t="inlineStr">
        <is>
          <t>Critical</t>
        </is>
      </c>
      <c r="K109" s="31" t="inlineStr">
        <is>
          <t>To Do</t>
        </is>
      </c>
      <c r="L109" s="33" t="n">
        <v>46301</v>
      </c>
      <c r="M109" s="33" t="n">
        <v>46312</v>
      </c>
    </row>
    <row r="110">
      <c r="A110" s="24">
        <f>"TASK-"&amp;TEXT(109,"000")</f>
        <v/>
      </c>
      <c r="B110" s="25" t="n"/>
      <c r="C110" s="25" t="n"/>
      <c r="D110" s="25" t="n"/>
      <c r="E110" s="25" t="n"/>
      <c r="F110" s="25" t="n"/>
      <c r="G110" s="25" t="n"/>
      <c r="H110" s="25" t="n"/>
      <c r="I110" s="27" t="n"/>
      <c r="J110" s="25" t="n"/>
      <c r="K110" s="25" t="n"/>
      <c r="L110" s="28" t="n"/>
      <c r="M110" s="28" t="n"/>
    </row>
    <row r="111">
      <c r="A111" s="24">
        <f>"TASK-"&amp;TEXT(110,"000")</f>
        <v/>
      </c>
      <c r="B111" s="25" t="n"/>
      <c r="C111" s="25" t="n"/>
      <c r="D111" s="25" t="n"/>
      <c r="E111" s="25" t="n"/>
      <c r="F111" s="25" t="n"/>
      <c r="G111" s="25" t="n"/>
      <c r="H111" s="25" t="n"/>
      <c r="I111" s="27" t="n"/>
      <c r="J111" s="25" t="n"/>
      <c r="K111" s="25" t="n"/>
      <c r="L111" s="28" t="n"/>
      <c r="M111" s="28" t="n"/>
    </row>
    <row r="112">
      <c r="A112" s="24">
        <f>"TASK-"&amp;TEXT(111,"000")</f>
        <v/>
      </c>
      <c r="B112" s="25" t="n"/>
      <c r="C112" s="25" t="n"/>
      <c r="D112" s="25" t="n"/>
      <c r="E112" s="25" t="n"/>
      <c r="F112" s="25" t="n"/>
      <c r="G112" s="25" t="n"/>
      <c r="H112" s="25" t="n"/>
      <c r="I112" s="27" t="n"/>
      <c r="J112" s="25" t="n"/>
      <c r="K112" s="25" t="n"/>
      <c r="L112" s="28" t="n"/>
      <c r="M112" s="28" t="n"/>
    </row>
    <row r="113">
      <c r="A113" s="24">
        <f>"TASK-"&amp;TEXT(112,"000")</f>
        <v/>
      </c>
      <c r="B113" s="25" t="n"/>
      <c r="C113" s="25" t="n"/>
      <c r="D113" s="25" t="n"/>
      <c r="E113" s="25" t="n"/>
      <c r="F113" s="25" t="n"/>
      <c r="G113" s="25" t="n"/>
      <c r="H113" s="25" t="n"/>
      <c r="I113" s="27" t="n"/>
      <c r="J113" s="25" t="n"/>
      <c r="K113" s="25" t="n"/>
      <c r="L113" s="28" t="n"/>
      <c r="M113" s="28" t="n"/>
    </row>
    <row r="114">
      <c r="A114" s="24">
        <f>"TASK-"&amp;TEXT(113,"000")</f>
        <v/>
      </c>
      <c r="B114" s="25" t="n"/>
      <c r="C114" s="25" t="n"/>
      <c r="D114" s="25" t="n"/>
      <c r="E114" s="25" t="n"/>
      <c r="F114" s="25" t="n"/>
      <c r="G114" s="25" t="n"/>
      <c r="H114" s="25" t="n"/>
      <c r="I114" s="27" t="n"/>
      <c r="J114" s="25" t="n"/>
      <c r="K114" s="25" t="n"/>
      <c r="L114" s="28" t="n"/>
      <c r="M114" s="28" t="n"/>
    </row>
    <row r="115">
      <c r="A115" s="24">
        <f>"TASK-"&amp;TEXT(114,"000")</f>
        <v/>
      </c>
      <c r="B115" s="25" t="n"/>
      <c r="C115" s="25" t="n"/>
      <c r="D115" s="25" t="n"/>
      <c r="E115" s="25" t="n"/>
      <c r="F115" s="25" t="n"/>
      <c r="G115" s="25" t="n"/>
      <c r="H115" s="25" t="n"/>
      <c r="I115" s="27" t="n"/>
      <c r="J115" s="25" t="n"/>
      <c r="K115" s="25" t="n"/>
      <c r="L115" s="28" t="n"/>
      <c r="M115" s="28" t="n"/>
    </row>
    <row r="116">
      <c r="A116" s="24">
        <f>"TASK-"&amp;TEXT(115,"000")</f>
        <v/>
      </c>
      <c r="B116" s="25" t="n"/>
      <c r="C116" s="25" t="n"/>
      <c r="D116" s="25" t="n"/>
      <c r="E116" s="25" t="n"/>
      <c r="F116" s="25" t="n"/>
      <c r="G116" s="25" t="n"/>
      <c r="H116" s="25" t="n"/>
      <c r="I116" s="27" t="n"/>
      <c r="J116" s="25" t="n"/>
      <c r="K116" s="25" t="n"/>
      <c r="L116" s="28" t="n"/>
      <c r="M116" s="28" t="n"/>
    </row>
    <row r="117">
      <c r="A117" s="24">
        <f>"TASK-"&amp;TEXT(116,"000")</f>
        <v/>
      </c>
      <c r="B117" s="25" t="n"/>
      <c r="C117" s="25" t="n"/>
      <c r="D117" s="25" t="n"/>
      <c r="E117" s="25" t="n"/>
      <c r="F117" s="25" t="n"/>
      <c r="G117" s="25" t="n"/>
      <c r="H117" s="25" t="n"/>
      <c r="I117" s="27" t="n"/>
      <c r="J117" s="25" t="n"/>
      <c r="K117" s="25" t="n"/>
      <c r="L117" s="28" t="n"/>
      <c r="M117" s="28" t="n"/>
    </row>
    <row r="118">
      <c r="A118" s="24">
        <f>"TASK-"&amp;TEXT(117,"000")</f>
        <v/>
      </c>
      <c r="B118" s="25" t="n"/>
      <c r="C118" s="25" t="n"/>
      <c r="D118" s="25" t="n"/>
      <c r="E118" s="25" t="n"/>
      <c r="F118" s="25" t="n"/>
      <c r="G118" s="25" t="n"/>
      <c r="H118" s="25" t="n"/>
      <c r="I118" s="27" t="n"/>
      <c r="J118" s="25" t="n"/>
      <c r="K118" s="25" t="n"/>
      <c r="L118" s="28" t="n"/>
      <c r="M118" s="28" t="n"/>
    </row>
    <row r="119">
      <c r="A119" s="24">
        <f>"TASK-"&amp;TEXT(118,"000")</f>
        <v/>
      </c>
      <c r="B119" s="25" t="n"/>
      <c r="C119" s="25" t="n"/>
      <c r="D119" s="25" t="n"/>
      <c r="E119" s="25" t="n"/>
      <c r="F119" s="25" t="n"/>
      <c r="G119" s="25" t="n"/>
      <c r="H119" s="25" t="n"/>
      <c r="I119" s="27" t="n"/>
      <c r="J119" s="25" t="n"/>
      <c r="K119" s="25" t="n"/>
      <c r="L119" s="28" t="n"/>
      <c r="M119" s="28" t="n"/>
    </row>
    <row r="120">
      <c r="A120" s="24">
        <f>"TASK-"&amp;TEXT(119,"000")</f>
        <v/>
      </c>
      <c r="B120" s="25" t="n"/>
      <c r="C120" s="25" t="n"/>
      <c r="D120" s="25" t="n"/>
      <c r="E120" s="25" t="n"/>
      <c r="F120" s="25" t="n"/>
      <c r="G120" s="25" t="n"/>
      <c r="H120" s="25" t="n"/>
      <c r="I120" s="27" t="n"/>
      <c r="J120" s="25" t="n"/>
      <c r="K120" s="25" t="n"/>
      <c r="L120" s="28" t="n"/>
      <c r="M120" s="28" t="n"/>
    </row>
    <row r="121">
      <c r="A121" s="24">
        <f>"TASK-"&amp;TEXT(120,"000")</f>
        <v/>
      </c>
      <c r="B121" s="25" t="n"/>
      <c r="C121" s="25" t="n"/>
      <c r="D121" s="25" t="n"/>
      <c r="E121" s="25" t="n"/>
      <c r="F121" s="25" t="n"/>
      <c r="G121" s="25" t="n"/>
      <c r="H121" s="25" t="n"/>
      <c r="I121" s="27" t="n"/>
      <c r="J121" s="25" t="n"/>
      <c r="K121" s="25" t="n"/>
      <c r="L121" s="28" t="n"/>
      <c r="M121" s="28" t="n"/>
    </row>
  </sheetData>
  <autoFilter ref="A1:M121"/>
  <dataValidations count="4">
    <dataValidation sqref="J3:J121" showDropDown="0" showInputMessage="0" showErrorMessage="0" allowBlank="1" type="list">
      <formula1>'Lookup Lists'!$A$2:$A$5</formula1>
    </dataValidation>
    <dataValidation sqref="K3:K121" showDropDown="0" showInputMessage="0" showErrorMessage="0" allowBlank="1" type="list">
      <formula1>'Lookup Lists'!$C$2:$C$6</formula1>
    </dataValidation>
    <dataValidation sqref="D3:D121" showDropDown="0" showInputMessage="0" showErrorMessage="0" allowBlank="1" type="list">
      <formula1>'Lookup Lists'!$D$2:$D$9</formula1>
    </dataValidation>
    <dataValidation sqref="G3:G121" showDropDown="0" showInputMessage="0" showErrorMessage="0" allowBlank="1" type="list">
      <formula1>'Lookup Lists'!$E$2:$E$7</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2:I1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15" min="1" max="1"/>
    <col width="12" customWidth="1" style="15" min="2" max="8"/>
    <col width="16" customWidth="1" style="15" min="9" max="9"/>
  </cols>
  <sheetData>
    <row r="2" ht="17.35" customHeight="1" s="16">
      <c r="B2" s="17" t="inlineStr">
        <is>
          <t>Sprint Summary</t>
        </is>
      </c>
    </row>
    <row r="4" ht="26.85" customHeight="1" s="16">
      <c r="B4" s="23" t="inlineStr">
        <is>
          <t>Sprint</t>
        </is>
      </c>
      <c r="C4" s="23" t="inlineStr">
        <is>
          <t>Total Tasks</t>
        </is>
      </c>
      <c r="D4" s="23" t="inlineStr">
        <is>
          <t>To Do</t>
        </is>
      </c>
      <c r="E4" s="23" t="inlineStr">
        <is>
          <t>In Progress</t>
        </is>
      </c>
      <c r="F4" s="23" t="inlineStr">
        <is>
          <t>In Review</t>
        </is>
      </c>
      <c r="G4" s="23" t="inlineStr">
        <is>
          <t>Blocked</t>
        </is>
      </c>
      <c r="H4" s="23" t="inlineStr">
        <is>
          <t>Done</t>
        </is>
      </c>
      <c r="I4" s="23" t="inlineStr">
        <is>
          <t>Total Story Points</t>
        </is>
      </c>
    </row>
    <row r="5" ht="15" customHeight="1" s="16">
      <c r="B5" s="29" t="inlineStr">
        <is>
          <t>Sprint 1</t>
        </is>
      </c>
      <c r="C5" s="29">
        <f>COUNTIF('Sprint Tasks'!$G$3:$G$121,$B5)</f>
        <v/>
      </c>
      <c r="D5" s="29">
        <f>COUNTIFS('Sprint Tasks'!$G$3:$G$121,$B5,'Sprint Tasks'!$K$3:$K$121,"To Do")</f>
        <v/>
      </c>
      <c r="E5" s="29">
        <f>COUNTIFS('Sprint Tasks'!$G$3:$G$121,$B5,'Sprint Tasks'!$K$3:$K$121,"In Progress")</f>
        <v/>
      </c>
      <c r="F5" s="29">
        <f>COUNTIFS('Sprint Tasks'!$G$3:$G$121,$B5,'Sprint Tasks'!$K$3:$K$121,"In Review")</f>
        <v/>
      </c>
      <c r="G5" s="29">
        <f>COUNTIFS('Sprint Tasks'!$G$3:$G$121,$B5,'Sprint Tasks'!$K$3:$K$121,"Blocked")</f>
        <v/>
      </c>
      <c r="H5" s="29">
        <f>COUNTIFS('Sprint Tasks'!$G$3:$G$121,$B5,'Sprint Tasks'!$K$3:$K$121,"Done")</f>
        <v/>
      </c>
      <c r="I5" s="29">
        <f>SUMIF('Sprint Tasks'!$G$3:$G$121,$B5,'Sprint Tasks'!$I$3:$I$121)</f>
        <v/>
      </c>
    </row>
    <row r="6" ht="15" customHeight="1" s="16">
      <c r="B6" s="29" t="inlineStr">
        <is>
          <t>Sprint 2</t>
        </is>
      </c>
      <c r="C6" s="29">
        <f>COUNTIF('Sprint Tasks'!$G$3:$G$121,$B6)</f>
        <v/>
      </c>
      <c r="D6" s="29">
        <f>COUNTIFS('Sprint Tasks'!$G$3:$G$121,$B6,'Sprint Tasks'!$K$3:$K$121,"To Do")</f>
        <v/>
      </c>
      <c r="E6" s="29">
        <f>COUNTIFS('Sprint Tasks'!$G$3:$G$121,$B6,'Sprint Tasks'!$K$3:$K$121,"In Progress")</f>
        <v/>
      </c>
      <c r="F6" s="29">
        <f>COUNTIFS('Sprint Tasks'!$G$3:$G$121,$B6,'Sprint Tasks'!$K$3:$K$121,"In Review")</f>
        <v/>
      </c>
      <c r="G6" s="29">
        <f>COUNTIFS('Sprint Tasks'!$G$3:$G$121,$B6,'Sprint Tasks'!$K$3:$K$121,"Blocked")</f>
        <v/>
      </c>
      <c r="H6" s="29">
        <f>COUNTIFS('Sprint Tasks'!$G$3:$G$121,$B6,'Sprint Tasks'!$K$3:$K$121,"Done")</f>
        <v/>
      </c>
      <c r="I6" s="29">
        <f>SUMIF('Sprint Tasks'!$G$3:$G$121,$B6,'Sprint Tasks'!$I$3:$I$121)</f>
        <v/>
      </c>
    </row>
    <row r="7" ht="15" customHeight="1" s="16">
      <c r="B7" s="29" t="inlineStr">
        <is>
          <t>Sprint 3</t>
        </is>
      </c>
      <c r="C7" s="29">
        <f>COUNTIF('Sprint Tasks'!$G$3:$G$121,$B7)</f>
        <v/>
      </c>
      <c r="D7" s="29">
        <f>COUNTIFS('Sprint Tasks'!$G$3:$G$121,$B7,'Sprint Tasks'!$K$3:$K$121,"To Do")</f>
        <v/>
      </c>
      <c r="E7" s="29">
        <f>COUNTIFS('Sprint Tasks'!$G$3:$G$121,$B7,'Sprint Tasks'!$K$3:$K$121,"In Progress")</f>
        <v/>
      </c>
      <c r="F7" s="29">
        <f>COUNTIFS('Sprint Tasks'!$G$3:$G$121,$B7,'Sprint Tasks'!$K$3:$K$121,"In Review")</f>
        <v/>
      </c>
      <c r="G7" s="29">
        <f>COUNTIFS('Sprint Tasks'!$G$3:$G$121,$B7,'Sprint Tasks'!$K$3:$K$121,"Blocked")</f>
        <v/>
      </c>
      <c r="H7" s="29">
        <f>COUNTIFS('Sprint Tasks'!$G$3:$G$121,$B7,'Sprint Tasks'!$K$3:$K$121,"Done")</f>
        <v/>
      </c>
      <c r="I7" s="29">
        <f>SUMIF('Sprint Tasks'!$G$3:$G$121,$B7,'Sprint Tasks'!$I$3:$I$121)</f>
        <v/>
      </c>
    </row>
    <row r="8" ht="15" customHeight="1" s="16">
      <c r="B8" s="29" t="inlineStr">
        <is>
          <t>Sprint 4</t>
        </is>
      </c>
      <c r="C8" s="29">
        <f>COUNTIF('Sprint Tasks'!$G$3:$G$121,$B8)</f>
        <v/>
      </c>
      <c r="D8" s="29">
        <f>COUNTIFS('Sprint Tasks'!$G$3:$G$121,$B8,'Sprint Tasks'!$K$3:$K$121,"To Do")</f>
        <v/>
      </c>
      <c r="E8" s="29">
        <f>COUNTIFS('Sprint Tasks'!$G$3:$G$121,$B8,'Sprint Tasks'!$K$3:$K$121,"In Progress")</f>
        <v/>
      </c>
      <c r="F8" s="29">
        <f>COUNTIFS('Sprint Tasks'!$G$3:$G$121,$B8,'Sprint Tasks'!$K$3:$K$121,"In Review")</f>
        <v/>
      </c>
      <c r="G8" s="29">
        <f>COUNTIFS('Sprint Tasks'!$G$3:$G$121,$B8,'Sprint Tasks'!$K$3:$K$121,"Blocked")</f>
        <v/>
      </c>
      <c r="H8" s="29">
        <f>COUNTIFS('Sprint Tasks'!$G$3:$G$121,$B8,'Sprint Tasks'!$K$3:$K$121,"Done")</f>
        <v/>
      </c>
      <c r="I8" s="29">
        <f>SUMIF('Sprint Tasks'!$G$3:$G$121,$B8,'Sprint Tasks'!$I$3:$I$121)</f>
        <v/>
      </c>
    </row>
    <row r="9" ht="15" customHeight="1" s="16">
      <c r="B9" s="29" t="inlineStr">
        <is>
          <t>Sprint 5</t>
        </is>
      </c>
      <c r="C9" s="29">
        <f>COUNTIF('Sprint Tasks'!$G$3:$G$121,$B9)</f>
        <v/>
      </c>
      <c r="D9" s="29">
        <f>COUNTIFS('Sprint Tasks'!$G$3:$G$121,$B9,'Sprint Tasks'!$K$3:$K$121,"To Do")</f>
        <v/>
      </c>
      <c r="E9" s="29">
        <f>COUNTIFS('Sprint Tasks'!$G$3:$G$121,$B9,'Sprint Tasks'!$K$3:$K$121,"In Progress")</f>
        <v/>
      </c>
      <c r="F9" s="29">
        <f>COUNTIFS('Sprint Tasks'!$G$3:$G$121,$B9,'Sprint Tasks'!$K$3:$K$121,"In Review")</f>
        <v/>
      </c>
      <c r="G9" s="29">
        <f>COUNTIFS('Sprint Tasks'!$G$3:$G$121,$B9,'Sprint Tasks'!$K$3:$K$121,"Blocked")</f>
        <v/>
      </c>
      <c r="H9" s="29">
        <f>COUNTIFS('Sprint Tasks'!$G$3:$G$121,$B9,'Sprint Tasks'!$K$3:$K$121,"Done")</f>
        <v/>
      </c>
      <c r="I9" s="29">
        <f>SUMIF('Sprint Tasks'!$G$3:$G$121,$B9,'Sprint Tasks'!$I$3:$I$121)</f>
        <v/>
      </c>
    </row>
    <row r="10" ht="15" customHeight="1" s="16">
      <c r="B10" s="29" t="inlineStr">
        <is>
          <t>Backlog</t>
        </is>
      </c>
      <c r="C10" s="29">
        <f>COUNTIF('Sprint Tasks'!$G$3:$G$121,$B10)</f>
        <v/>
      </c>
      <c r="D10" s="29">
        <f>COUNTIFS('Sprint Tasks'!$G$3:$G$121,$B10,'Sprint Tasks'!$K$3:$K$121,"To Do")</f>
        <v/>
      </c>
      <c r="E10" s="29">
        <f>COUNTIFS('Sprint Tasks'!$G$3:$G$121,$B10,'Sprint Tasks'!$K$3:$K$121,"In Progress")</f>
        <v/>
      </c>
      <c r="F10" s="29">
        <f>COUNTIFS('Sprint Tasks'!$G$3:$G$121,$B10,'Sprint Tasks'!$K$3:$K$121,"In Review")</f>
        <v/>
      </c>
      <c r="G10" s="29">
        <f>COUNTIFS('Sprint Tasks'!$G$3:$G$121,$B10,'Sprint Tasks'!$K$3:$K$121,"Blocked")</f>
        <v/>
      </c>
      <c r="H10" s="29">
        <f>COUNTIFS('Sprint Tasks'!$G$3:$G$121,$B10,'Sprint Tasks'!$K$3:$K$121,"Done")</f>
        <v/>
      </c>
      <c r="I10" s="29">
        <f>SUMIF('Sprint Tasks'!$G$3:$G$121,$B10,'Sprint Tasks'!$I$3:$I$121)</f>
        <v/>
      </c>
    </row>
    <row r="11" ht="15" customHeight="1" s="16">
      <c r="B11" s="30" t="inlineStr">
        <is>
          <t>Total</t>
        </is>
      </c>
      <c r="C11" s="30">
        <f>SUM(C5:C10)</f>
        <v/>
      </c>
      <c r="D11" s="30">
        <f>SUM(D5:D10)</f>
        <v/>
      </c>
      <c r="E11" s="30">
        <f>SUM(E5:E10)</f>
        <v/>
      </c>
      <c r="F11" s="30">
        <f>SUM(F5:F10)</f>
        <v/>
      </c>
      <c r="G11" s="30">
        <f>SUM(G5:G10)</f>
        <v/>
      </c>
      <c r="H11" s="30">
        <f>SUM(H5:H10)</f>
        <v/>
      </c>
      <c r="I11" s="30">
        <f>SUM(I5:I10)</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2026-09-07T10:53:34Z</dcterms:created>
  <dcterms:modified xsi:type="dcterms:W3CDTF">2026-09-09T06:41:01Z</dcterms:modified>
  <cp:revision>0</cp:revision>
</cp:coreProperties>
</file>